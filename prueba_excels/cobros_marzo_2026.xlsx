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5dd181bc2c44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bros_Marzo_2026" sheetId="1" r:id="Rcbf5090ff9d947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 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3A8A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e47b1804f345ae" /><Relationship Type="http://schemas.openxmlformats.org/officeDocument/2006/relationships/theme" Target="/xl/theme/theme1.xml" Id="R8ca10cd6d3224990" /><Relationship Type="http://schemas.openxmlformats.org/officeDocument/2006/relationships/sharedStrings" Target="/xl/sharedStrings.xml" Id="R362bad22450d42e1" /><Relationship Type="http://schemas.openxmlformats.org/officeDocument/2006/relationships/worksheet" Target="/xl/worksheets/sheet1.xml" Id="Rcbf5090ff9d947e7" /></Relationships>
</file>

<file path=xl/tables/table1.xml><?xml version="1.0" encoding="utf-8"?>
<x:table xmlns:x="http://schemas.openxmlformats.org/spreadsheetml/2006/main" id="1" name="CobrosMarzo2026Table" displayName="CobrosMarzo2026Table" ref="A1:H21" headerRowCount="1">
  <x:tableColumns count="8">
    <x:tableColumn id="1" name="fecha"/>
    <x:tableColumn id="2" name="cobro_id"/>
    <x:tableColumn id="3" name="medio_de_cobro"/>
    <x:tableColumn id="4" name="referencia"/>
    <x:tableColumn id="5" name="importe_cobrado"/>
    <x:tableColumn id="6" name="ticket_relacionado"/>
    <x:tableColumn id="7" name="estado_match_declarado"/>
    <x:tableColumn id="8" name="observacion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6fbf4a28bf4ff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28" hidden="0" customWidth="1"/>
    <x:col min="7" max="7" width="28" hidden="0" customWidth="1"/>
    <x:col min="8" max="8" width="28" hidden="0" customWidth="1"/>
  </x:cols>
  <x:sheetData>
    <x:row r="1">
      <x:c r="A1" s="5" t="str">
        <x:v>fecha</x:v>
      </x:c>
      <x:c r="B1" s="5" t="str">
        <x:v>cobro_id</x:v>
      </x:c>
      <x:c r="C1" s="5" t="str">
        <x:v>medio_de_cobro</x:v>
      </x:c>
      <x:c r="D1" s="5" t="str">
        <x:v>referencia</x:v>
      </x:c>
      <x:c r="E1" s="5" t="str">
        <x:v>importe_cobrado</x:v>
      </x:c>
      <x:c r="F1" s="5" t="str">
        <x:v>ticket_relacionado</x:v>
      </x:c>
      <x:c r="G1" s="5" t="str">
        <x:v>estado_match_declarado</x:v>
      </x:c>
      <x:c r="H1" s="18" t="str">
        <x:v>observaciones</x:v>
      </x:c>
    </x:row>
    <x:row r="2">
      <x:c r="A2" s="14" t="n">
        <x:v>46082</x:v>
      </x:c>
      <x:c r="B2" t="str">
        <x:v>C-0001</x:v>
      </x:c>
      <x:c r="C2" t="str">
        <x:v>Efectivo</x:v>
      </x:c>
      <x:c r="D2" t="str">
        <x:v>Caja diaria 01/03</x:v>
      </x:c>
      <x:c r="E2" s="16" t="n">
        <x:v>9600</x:v>
      </x:c>
      <x:c r="F2" t="str">
        <x:v>T-0001;T-0003</x:v>
      </x:c>
      <x:c r="G2" t="str">
        <x:v>Parcial</x:v>
      </x:c>
      <x:c r="H2" t="str"/>
    </x:row>
    <x:row r="3">
      <x:c r="A3" s="14" t="n">
        <x:v>46083</x:v>
      </x:c>
      <x:c r="B3" t="str">
        <x:v>C-0002</x:v>
      </x:c>
      <x:c r="C3" t="str">
        <x:v>Mercado Pago</x:v>
      </x:c>
      <x:c r="D3" t="str">
        <x:v>MP lote 02/03</x:v>
      </x:c>
      <x:c r="E3" s="16" t="n">
        <x:v>5700</x:v>
      </x:c>
      <x:c r="F3" t="str">
        <x:v>T-0002</x:v>
      </x:c>
      <x:c r="G3" t="str">
        <x:v>Declarado</x:v>
      </x:c>
      <x:c r="H3" t="str">
        <x:v>Sin liquidación adjunta</x:v>
      </x:c>
    </x:row>
    <x:row r="4">
      <x:c r="A4" s="14" t="n">
        <x:v>46085</x:v>
      </x:c>
      <x:c r="B4" t="str">
        <x:v>C-0003</x:v>
      </x:c>
      <x:c r="C4" t="str">
        <x:v>Débito</x:v>
      </x:c>
      <x:c r="D4" t="str">
        <x:v>POS 04/03</x:v>
      </x:c>
      <x:c r="E4" s="16" t="n">
        <x:v>6000</x:v>
      </x:c>
      <x:c r="F4" t="str">
        <x:v>T-0004</x:v>
      </x:c>
      <x:c r="G4" t="str">
        <x:v>Declarado</x:v>
      </x:c>
      <x:c r="H4" t="str"/>
    </x:row>
    <x:row r="5">
      <x:c r="A5" s="14" t="n">
        <x:v>46086</x:v>
      </x:c>
      <x:c r="B5" t="str">
        <x:v>C-0004</x:v>
      </x:c>
      <x:c r="C5" t="str">
        <x:v>Mercado Pago</x:v>
      </x:c>
      <x:c r="D5" t="str">
        <x:v>MP lote 05/03</x:v>
      </x:c>
      <x:c r="E5" s="16" t="n">
        <x:v>4200</x:v>
      </x:c>
      <x:c r="F5" t="str">
        <x:v>T-0005</x:v>
      </x:c>
      <x:c r="G5" t="str">
        <x:v>Declarado</x:v>
      </x:c>
      <x:c r="H5" t="str">
        <x:v>Sin liquidación adjunta</x:v>
      </x:c>
    </x:row>
    <x:row r="6">
      <x:c r="A6" s="14" t="n">
        <x:v>46088</x:v>
      </x:c>
      <x:c r="B6" t="str">
        <x:v>C-0005</x:v>
      </x:c>
      <x:c r="C6" t="str">
        <x:v>Efectivo</x:v>
      </x:c>
      <x:c r="D6" t="str">
        <x:v>Caja diaria 07/03</x:v>
      </x:c>
      <x:c r="E6" s="16" t="n">
        <x:v>6000</x:v>
      </x:c>
      <x:c r="F6" t="str">
        <x:v>T-0006</x:v>
      </x:c>
      <x:c r="G6" t="str">
        <x:v>Diferencia</x:v>
      </x:c>
      <x:c r="H6" t="str">
        <x:v>Caja declara $6.000 vs venta $6.000</x:v>
      </x:c>
    </x:row>
    <x:row r="7">
      <x:c r="A7" s="14" t="n">
        <x:v>46090</x:v>
      </x:c>
      <x:c r="B7" t="str">
        <x:v>C-0006</x:v>
      </x:c>
      <x:c r="C7" t="str">
        <x:v>Efectivo</x:v>
      </x:c>
      <x:c r="D7" t="str">
        <x:v>Caja diaria 09/03</x:v>
      </x:c>
      <x:c r="E7" s="16" t="n">
        <x:v>5000</x:v>
      </x:c>
      <x:c r="F7" t="str">
        <x:v>T-0007</x:v>
      </x:c>
      <x:c r="G7" t="str">
        <x:v>Declarado</x:v>
      </x:c>
      <x:c r="H7" t="str"/>
    </x:row>
    <x:row r="8">
      <x:c r="A8" s="14" t="n">
        <x:v>46091</x:v>
      </x:c>
      <x:c r="B8" t="str">
        <x:v>C-0007</x:v>
      </x:c>
      <x:c r="C8" t="str">
        <x:v>Débito</x:v>
      </x:c>
      <x:c r="D8" t="str">
        <x:v>POS 10/03</x:v>
      </x:c>
      <x:c r="E8" s="16" t="n">
        <x:v>7600</x:v>
      </x:c>
      <x:c r="F8" t="str">
        <x:v>T-0008</x:v>
      </x:c>
      <x:c r="G8" t="str">
        <x:v>Declarado</x:v>
      </x:c>
      <x:c r="H8" t="str"/>
    </x:row>
    <x:row r="9">
      <x:c r="A9" s="14" t="n">
        <x:v>46093</x:v>
      </x:c>
      <x:c r="B9" t="str">
        <x:v>C-0008</x:v>
      </x:c>
      <x:c r="C9" t="str">
        <x:v>Efectivo</x:v>
      </x:c>
      <x:c r="D9" t="str">
        <x:v>Caja diaria 12/03</x:v>
      </x:c>
      <x:c r="E9" s="16" t="n">
        <x:v>4500</x:v>
      </x:c>
      <x:c r="F9" t="str">
        <x:v>T-0009</x:v>
      </x:c>
      <x:c r="G9" t="str">
        <x:v>Declarado</x:v>
      </x:c>
      <x:c r="H9" t="str"/>
    </x:row>
    <x:row r="10">
      <x:c r="A10" s="14" t="n">
        <x:v>46095</x:v>
      </x:c>
      <x:c r="B10" t="str">
        <x:v>C-0009</x:v>
      </x:c>
      <x:c r="C10" t="str">
        <x:v>Mercado Pago</x:v>
      </x:c>
      <x:c r="D10" t="str">
        <x:v>MP lote 14/03</x:v>
      </x:c>
      <x:c r="E10" s="16" t="n">
        <x:v>4800</x:v>
      </x:c>
      <x:c r="F10" t="str">
        <x:v>T-0010</x:v>
      </x:c>
      <x:c r="G10" t="str">
        <x:v>Declarado</x:v>
      </x:c>
      <x:c r="H10" t="str">
        <x:v>Sin liquidación adjunta</x:v>
      </x:c>
    </x:row>
    <x:row r="11">
      <x:c r="A11" s="14" t="n">
        <x:v>46096</x:v>
      </x:c>
      <x:c r="B11" t="str">
        <x:v>C-0010</x:v>
      </x:c>
      <x:c r="C11" t="str">
        <x:v>Efectivo</x:v>
      </x:c>
      <x:c r="D11" t="str">
        <x:v>Caja diaria 15/03</x:v>
      </x:c>
      <x:c r="E11" s="16" t="n">
        <x:v>5000</x:v>
      </x:c>
      <x:c r="F11" t="str">
        <x:v>T-0011</x:v>
      </x:c>
      <x:c r="G11" t="str">
        <x:v>Declarado</x:v>
      </x:c>
      <x:c r="H11" t="str"/>
    </x:row>
    <x:row r="12">
      <x:c r="A12" s="14" t="n">
        <x:v>46098</x:v>
      </x:c>
      <x:c r="B12" t="str">
        <x:v>C-0011</x:v>
      </x:c>
      <x:c r="C12" t="str">
        <x:v>Débito</x:v>
      </x:c>
      <x:c r="D12" t="str">
        <x:v>POS 17/03</x:v>
      </x:c>
      <x:c r="E12" s="16" t="n">
        <x:v>6200</x:v>
      </x:c>
      <x:c r="F12" t="str">
        <x:v>T-0012</x:v>
      </x:c>
      <x:c r="G12" t="str">
        <x:v>Declarado</x:v>
      </x:c>
      <x:c r="H12" t="str"/>
    </x:row>
    <x:row r="13">
      <x:c r="A13" s="14" t="n">
        <x:v>46100</x:v>
      </x:c>
      <x:c r="B13" t="str">
        <x:v>C-0012</x:v>
      </x:c>
      <x:c r="C13" t="str">
        <x:v>Mercado Pago</x:v>
      </x:c>
      <x:c r="D13" t="str">
        <x:v>MP lote 19/03</x:v>
      </x:c>
      <x:c r="E13" s="16" t="n">
        <x:v>4300</x:v>
      </x:c>
      <x:c r="F13" t="str">
        <x:v>T-0013</x:v>
      </x:c>
      <x:c r="G13" t="str">
        <x:v>Diferencia</x:v>
      </x:c>
      <x:c r="H13" t="str">
        <x:v>Venta declarada $4.400</x:v>
      </x:c>
    </x:row>
    <x:row r="14">
      <x:c r="A14" s="14" t="n">
        <x:v>46102</x:v>
      </x:c>
      <x:c r="B14" t="str">
        <x:v>C-0013</x:v>
      </x:c>
      <x:c r="C14" t="str">
        <x:v>Efectivo</x:v>
      </x:c>
      <x:c r="D14" t="str">
        <x:v>Caja diaria 21/03</x:v>
      </x:c>
      <x:c r="E14" s="16" t="n">
        <x:v>2900</x:v>
      </x:c>
      <x:c r="F14" t="str">
        <x:v>T-0014</x:v>
      </x:c>
      <x:c r="G14" t="str">
        <x:v>Declarado</x:v>
      </x:c>
      <x:c r="H14" t="str"/>
    </x:row>
    <x:row r="15">
      <x:c r="A15" s="14" t="n">
        <x:v>46104</x:v>
      </x:c>
      <x:c r="B15" t="str">
        <x:v>C-0014</x:v>
      </x:c>
      <x:c r="C15" t="str">
        <x:v>Débito</x:v>
      </x:c>
      <x:c r="D15" t="str">
        <x:v>POS 23/03</x:v>
      </x:c>
      <x:c r="E15" s="16" t="n">
        <x:v>4050</x:v>
      </x:c>
      <x:c r="F15" t="str">
        <x:v>T-0015</x:v>
      </x:c>
      <x:c r="G15" t="str">
        <x:v>Declarado</x:v>
      </x:c>
      <x:c r="H15" t="str"/>
    </x:row>
    <x:row r="16">
      <x:c r="A16" s="14" t="n">
        <x:v>46106</x:v>
      </x:c>
      <x:c r="B16" t="str">
        <x:v>C-0015</x:v>
      </x:c>
      <x:c r="C16" t="str">
        <x:v>Efectivo</x:v>
      </x:c>
      <x:c r="D16" t="str">
        <x:v>Caja diaria 25/03</x:v>
      </x:c>
      <x:c r="E16" s="16" t="n">
        <x:v>4200</x:v>
      </x:c>
      <x:c r="F16" t="str">
        <x:v>T-0016</x:v>
      </x:c>
      <x:c r="G16" t="str">
        <x:v>Declarado</x:v>
      </x:c>
      <x:c r="H16" t="str"/>
    </x:row>
    <x:row r="17">
      <x:c r="A17" s="14" t="n">
        <x:v>46108</x:v>
      </x:c>
      <x:c r="B17" t="str">
        <x:v>C-0016</x:v>
      </x:c>
      <x:c r="C17" t="str">
        <x:v>Mercado Pago</x:v>
      </x:c>
      <x:c r="D17" t="str">
        <x:v>MP lote 27/03</x:v>
      </x:c>
      <x:c r="E17" s="16" t="n">
        <x:v>4400</x:v>
      </x:c>
      <x:c r="F17" t="str">
        <x:v>T-0017</x:v>
      </x:c>
      <x:c r="G17" t="str">
        <x:v>Declarado</x:v>
      </x:c>
      <x:c r="H17" t="str">
        <x:v>Sin liquidación adjunta</x:v>
      </x:c>
    </x:row>
    <x:row r="18">
      <x:c r="A18" s="14" t="n">
        <x:v>46110</x:v>
      </x:c>
      <x:c r="B18" t="str">
        <x:v>C-0017</x:v>
      </x:c>
      <x:c r="C18" t="str">
        <x:v>Efectivo</x:v>
      </x:c>
      <x:c r="D18" t="str">
        <x:v>Caja diaria 29/03</x:v>
      </x:c>
      <x:c r="E18" s="16" t="n">
        <x:v>3500</x:v>
      </x:c>
      <x:c r="F18" t="str">
        <x:v>T-0018</x:v>
      </x:c>
      <x:c r="G18" t="str">
        <x:v>Declarado</x:v>
      </x:c>
      <x:c r="H18" t="str"/>
    </x:row>
    <x:row r="19">
      <x:c r="A19" s="14" t="n">
        <x:v>46111</x:v>
      </x:c>
      <x:c r="B19" t="str">
        <x:v>C-0018</x:v>
      </x:c>
      <x:c r="C19" t="str">
        <x:v>Débito</x:v>
      </x:c>
      <x:c r="D19" t="str">
        <x:v>POS 30/03</x:v>
      </x:c>
      <x:c r="E19" s="16" t="n">
        <x:v>5200</x:v>
      </x:c>
      <x:c r="F19" t="str">
        <x:v>T-0019</x:v>
      </x:c>
      <x:c r="G19" t="str">
        <x:v>Declarado</x:v>
      </x:c>
      <x:c r="H19" t="str"/>
    </x:row>
    <x:row r="20">
      <x:c r="A20" s="14" t="n">
        <x:v>46112</x:v>
      </x:c>
      <x:c r="B20" t="str">
        <x:v>C-0019</x:v>
      </x:c>
      <x:c r="C20" t="str">
        <x:v>Efectivo</x:v>
      </x:c>
      <x:c r="D20" t="str">
        <x:v>Caja diaria 31/03</x:v>
      </x:c>
      <x:c r="E20" s="16" t="n">
        <x:v>2100</x:v>
      </x:c>
      <x:c r="F20" t="str">
        <x:v>T-0020</x:v>
      </x:c>
      <x:c r="G20" t="str">
        <x:v>Diferencia</x:v>
      </x:c>
      <x:c r="H20" t="str">
        <x:v>Venta declarada $2.400</x:v>
      </x:c>
    </x:row>
    <x:row r="21">
      <x:c r="A21" s="14" t="n">
        <x:v>46112</x:v>
      </x:c>
      <x:c r="B21" t="str">
        <x:v>C-0020</x:v>
      </x:c>
      <x:c r="C21" t="str">
        <x:v>Efectivo</x:v>
      </x:c>
      <x:c r="D21" t="str">
        <x:v>Caja ajuste manual</x:v>
      </x:c>
      <x:c r="E21" s="16" t="n">
        <x:v>1000</x:v>
      </x:c>
      <x:c r="F21" t="str"/>
      <x:c r="G21" t="str">
        <x:v>Sin ticket</x:v>
      </x:c>
      <x:c r="H21" t="str">
        <x:v>Cobro declarado sin ticket relacionado</x:v>
      </x:c>
    </x:row>
    <x:row r="24">
      <x:c r="A24" s="11" t="str">
        <x:v>Resumen declarado</x:v>
      </x:c>
      <x:c r="B24" s="11" t="str">
        <x:v>Importe</x:v>
      </x:c>
    </x:row>
    <x:row r="25">
      <x:c r="A25" t="str">
        <x:v>Total cobros declarados</x:v>
      </x:c>
      <x:c r="B25" s="16" t="n">
        <x:f>SUM(E2:E21)</x:f>
        <x:v>96250</x:v>
      </x:c>
    </x:row>
    <x:row r="26">
      <x:c r="A26" t="str">
        <x:v>Cantidad cobros</x:v>
      </x:c>
      <x:c r="B26" t="n">
        <x:f>COUNTA(B2:B21)</x:f>
        <x:v>20</x:v>
      </x:c>
    </x:row>
    <x:row r="27">
      <x:c r="A27" t="str">
        <x:v>Cobros con diferencia/sin ticket</x:v>
      </x:c>
      <x:c r="B27" t="n">
        <x:f>COUNTIF(G2:G21,"Diferencia")+COUNTIF(G2:G21,"Sin ticket")</x:f>
        <x:v>4</x:v>
      </x:c>
    </x:row>
    <x:row r="28">
      <x:c r="A28" t="str">
        <x:v>Periodo</x:v>
      </x:c>
      <x:c r="B28" t="str">
        <x:v>Marzo 2026</x:v>
      </x:c>
    </x:row>
    <x:row r="29">
      <x:c r="A29" t="str">
        <x:v>Nota</x:v>
      </x:c>
      <x:c r="B29" t="str">
        <x:v>Datos sintéticos para piloto controlado; evidencia declarada, no auditada.</x:v>
      </x:c>
    </x:row>
  </x:sheetData>
  <x:pageMargins left="0.7" right="0.7" top="0.75" bottom="0.75" header="0.3" footer="0.3"/>
  <x:tableParts count="1">
    <x:tablePart xmlns:r="http://schemas.openxmlformats.org/officeDocument/2006/relationships" r:id="R326fbf4a28bf4ffd"/>
  </x:tableParts>
</x:worksheet>
</file>