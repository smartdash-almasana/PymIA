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ILOT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Caja_Banco" sheetId="3" state="visible" r:id="rId3"/>
    <sheet xmlns:r="http://schemas.openxmlformats.org/officeDocument/2006/relationships" name="Revision_PymIA" sheetId="4" state="visible" r:id="rId4"/>
  </sheets>
  <definedNames>
    <definedName name="_xlnm._FilterDatabase" localSheetId="2" hidden="1">'Caja_Banco'!$A$1:$O$21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color rgb="00375623"/>
      <sz val="9"/>
    </font>
    <font>
      <name val="Arial"/>
      <i val="1"/>
      <color rgb="00595959"/>
      <sz val="10"/>
    </font>
    <font>
      <name val="Arial"/>
      <b val="1"/>
      <color rgb="007F6000"/>
      <sz val="9"/>
    </font>
    <font>
      <name val="Arial"/>
      <b val="1"/>
      <color rgb="00C65911"/>
      <sz val="9"/>
    </font>
    <font>
      <name val="Arial"/>
      <b val="1"/>
      <color rgb="00A51D24"/>
      <sz val="9"/>
    </font>
    <font>
      <name val="Arial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244062"/>
        <bgColor rgb="00244062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244062"/>
      </top>
      <bottom style="medium">
        <color rgb="0024406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3" fillId="0" borderId="2" pivotButton="0" quotePrefix="0" xfId="0"/>
    <xf numFmtId="0" fontId="4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  <xf numFmtId="0" fontId="3" fillId="10" borderId="2" pivotButton="0" quotePrefix="0" xfId="0"/>
    <xf numFmtId="0" fontId="11" fillId="5" borderId="2" pivotButton="0" quotePrefix="0" xfId="0"/>
    <xf numFmtId="0" fontId="3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85" customWidth="1" min="2" max="2"/>
  </cols>
  <sheetData>
    <row r="1" ht="40" customHeight="1">
      <c r="A1" s="1" t="inlineStr">
        <is>
          <t xml:space="preserve"> FICHA TÉCNICA DEL PILOTO DE PRUEBA</t>
        </is>
      </c>
    </row>
    <row r="2"/>
    <row r="3" ht="25" customHeight="1">
      <c r="A3" s="2" t="inlineStr">
        <is>
          <t>Atributo del Piloto</t>
        </is>
      </c>
      <c r="B3" s="2" t="inlineStr">
        <is>
          <t>Valor / Descripción de Configuración</t>
        </is>
      </c>
    </row>
    <row r="4" ht="22" customHeight="1">
      <c r="A4" s="3" t="inlineStr">
        <is>
          <t>pilot_id</t>
        </is>
      </c>
      <c r="B4" s="4" t="inlineStr">
        <is>
          <t>PILOT_004</t>
        </is>
      </c>
    </row>
    <row r="5" ht="22" customHeight="1">
      <c r="A5" s="3" t="inlineStr">
        <is>
          <t>case_option</t>
        </is>
      </c>
      <c r="B5" s="4" t="inlineStr">
        <is>
          <t>CASH_BANK_OR_SIMPLE_RECONCILIATION</t>
        </is>
      </c>
    </row>
    <row r="6" ht="22" customHeight="1">
      <c r="A6" s="3" t="inlineStr">
        <is>
          <t>tipo</t>
        </is>
      </c>
      <c r="B6" s="4" t="inlineStr">
        <is>
          <t>XLSX sintético externo</t>
        </is>
      </c>
    </row>
    <row r="7" ht="22" customHeight="1">
      <c r="A7" s="3" t="inlineStr">
        <is>
          <t>propósito</t>
        </is>
      </c>
      <c r="B7" s="5" t="inlineStr">
        <is>
          <t>Probar el comportamiento del motor Primeros Auxilios GPT V1 en un caso de caja, banco y conciliación simple.</t>
        </is>
      </c>
    </row>
    <row r="8" ht="22" customHeight="1">
      <c r="A8" s="3" t="inlineStr">
        <is>
          <t>límite</t>
        </is>
      </c>
      <c r="B8" s="5" t="inlineStr">
        <is>
          <t>Validar de forma prudente el límite entre movimientos observables, conciliación parcial y conciliación real (no afirmable sin segunda fuente suficiente). El sistema no debe diagnosticar fraude ni errores contables definitivos si la evidencia es unilateral.</t>
        </is>
      </c>
    </row>
    <row r="9" ht="22" customHeight="1">
      <c r="A9" s="3" t="inlineStr">
        <is>
          <t>uso</t>
        </is>
      </c>
      <c r="B9" s="4" t="inlineStr">
        <is>
          <t>Evidencia sintética para registro documental interno y calibración de señales de control, no apto para ejecución en runtime real.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4" customWidth="1" min="3" max="3"/>
    <col width="33" customWidth="1" min="4" max="4"/>
    <col width="60" customWidth="1" min="5" max="5"/>
  </cols>
  <sheetData>
    <row r="1">
      <c r="A1" s="6" t="inlineStr">
        <is>
          <t>CATÁLOGOS DEL SISTEMA DE AUDITORÍA</t>
        </is>
      </c>
    </row>
    <row r="2"/>
    <row r="3">
      <c r="A3" s="7" t="inlineStr">
        <is>
          <t>first_aid_option</t>
        </is>
      </c>
      <c r="B3" s="7" t="inlineStr">
        <is>
          <t>admission_verdict</t>
        </is>
      </c>
      <c r="C3" s="7" t="inlineStr">
        <is>
          <t>final_verdict</t>
        </is>
      </c>
      <c r="D3" s="8" t="inlineStr">
        <is>
          <t>Señal First Aid</t>
        </is>
      </c>
      <c r="E3" s="8" t="inlineStr">
        <is>
          <t>Límite owner-safe (Definición Prudente)</t>
        </is>
      </c>
    </row>
    <row r="4">
      <c r="A4" s="9" t="inlineStr">
        <is>
          <t>CASH_BANK_OR_SIMPLE_RECONCILIATION</t>
        </is>
      </c>
      <c r="B4" s="9" t="inlineStr">
        <is>
          <t>ACCEPTED</t>
        </is>
      </c>
      <c r="C4" s="9" t="inlineStr">
        <is>
          <t>SUCCESS</t>
        </is>
      </c>
      <c r="D4" s="10" t="inlineStr">
        <is>
          <t>OK_COINCIDENTE</t>
        </is>
      </c>
      <c r="E4" s="11" t="inlineStr">
        <is>
          <t>Movimiento comparable entre fuentes, no implica auditoría completa.</t>
        </is>
      </c>
    </row>
    <row r="5">
      <c r="B5" s="9" t="inlineStr">
        <is>
          <t>BLOCKED</t>
        </is>
      </c>
      <c r="C5" s="9" t="inlineStr">
        <is>
          <t>PARTIAL</t>
        </is>
      </c>
      <c r="D5" s="10" t="inlineStr">
        <is>
          <t>DIFERENCIA_MENOR_COMISION</t>
        </is>
      </c>
      <c r="E5" s="11" t="inlineStr">
        <is>
          <t>Diferencia compatible con comisión o retención, requiere validar liquidación.</t>
        </is>
      </c>
    </row>
    <row r="6">
      <c r="B6" s="9" t="inlineStr">
        <is>
          <t>OUT_OF_SCOPE</t>
        </is>
      </c>
      <c r="C6" s="9" t="inlineStr">
        <is>
          <t>BLOCKED</t>
        </is>
      </c>
      <c r="D6" s="10" t="inlineStr">
        <is>
          <t>BANCO_SIN_CONTRAPARTE</t>
        </is>
      </c>
      <c r="E6" s="11" t="inlineStr">
        <is>
          <t>Movimiento visible en banco sin fuente equivalente en caja/POS.</t>
        </is>
      </c>
    </row>
    <row r="7">
      <c r="B7" s="9" t="inlineStr">
        <is>
          <t>ESCALATE</t>
        </is>
      </c>
      <c r="C7" s="9" t="inlineStr">
        <is>
          <t>OUT_OF_SCOPE</t>
        </is>
      </c>
      <c r="D7" s="10" t="inlineStr">
        <is>
          <t>CAJA_SIN_BANCO</t>
        </is>
      </c>
      <c r="E7" s="11" t="inlineStr">
        <is>
          <t>Movimiento visible en caja/POS sin contraparte bancaria.</t>
        </is>
      </c>
    </row>
    <row r="8">
      <c r="C8" s="9" t="inlineStr">
        <is>
          <t>ESCALATED_TO_LEVEL_2</t>
        </is>
      </c>
      <c r="D8" s="10" t="inlineStr">
        <is>
          <t>IMPORTE_FALTANTE</t>
        </is>
      </c>
      <c r="E8" s="11" t="inlineStr">
        <is>
          <t>Monto no registrado en una o más fuentes documentales.</t>
        </is>
      </c>
    </row>
    <row r="9">
      <c r="D9" s="10" t="inlineStr">
        <is>
          <t>IMPORTE_AMBIGUO_NO_COMPARABLE</t>
        </is>
      </c>
      <c r="E9" s="11" t="inlineStr">
        <is>
          <t>Dato ambiguo; no calcular silenciosamente.</t>
        </is>
      </c>
    </row>
    <row r="10">
      <c r="D10" s="10" t="inlineStr">
        <is>
          <t>IMPORTE_CERO_A_CONFIRMAR</t>
        </is>
      </c>
      <c r="E10" s="11" t="inlineStr">
        <is>
          <t>Importe en cero bajo condición sospechosa, requiere verificación de origen.</t>
        </is>
      </c>
    </row>
    <row r="11">
      <c r="D11" s="10" t="inlineStr">
        <is>
          <t>POSIBLE_DUPLICADO</t>
        </is>
      </c>
      <c r="E11" s="11" t="inlineStr">
        <is>
          <t>Transacción con idénticos atributos en el mismo período, verificar duplicación.</t>
        </is>
      </c>
    </row>
    <row r="12">
      <c r="D12" s="10" t="inlineStr">
        <is>
          <t>FECHA_FUERA_DE_PERIODO</t>
        </is>
      </c>
      <c r="E12" s="11" t="inlineStr">
        <is>
          <t>Fecha informada no corresponde al marco temporal bajo revisión.</t>
        </is>
      </c>
    </row>
    <row r="13">
      <c r="D13" s="10" t="inlineStr">
        <is>
          <t>RETIRO_DECLARADO</t>
        </is>
      </c>
      <c r="E13" s="11" t="inlineStr">
        <is>
          <t>Retiro de fondos por parte del propietario, requiere rendición de cuenta.</t>
        </is>
      </c>
    </row>
    <row r="14">
      <c r="D14" s="10" t="inlineStr">
        <is>
          <t>NO_CONCILIABLE_CON_UNA_FUENTE</t>
        </is>
      </c>
      <c r="E14" s="11" t="inlineStr">
        <is>
          <t>Con una sola fuente se puede marcar señal, no cerrar conciliación.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9" customWidth="1" min="4" max="4"/>
    <col width="30" customWidth="1" min="5" max="5"/>
    <col width="21" customWidth="1" min="6" max="6"/>
    <col width="17" customWidth="1" min="7" max="7"/>
    <col width="20" customWidth="1" min="8" max="8"/>
    <col width="17" customWidth="1" min="9" max="9"/>
    <col width="22" customWidth="1" min="10" max="10"/>
    <col width="33" customWidth="1" min="11" max="11"/>
    <col width="40" customWidth="1" min="12" max="12"/>
    <col width="38" customWidth="1" min="13" max="13"/>
    <col width="38" customWidth="1" min="14" max="14"/>
    <col width="55" customWidth="1" min="15" max="15"/>
  </cols>
  <sheetData>
    <row r="1" ht="26" customHeight="1">
      <c r="A1" s="12" t="inlineStr">
        <is>
          <t>ID movimiento</t>
        </is>
      </c>
      <c r="B1" s="12" t="inlineStr">
        <is>
          <t>Fecha</t>
        </is>
      </c>
      <c r="C1" s="12" t="inlineStr">
        <is>
          <t>Fuente</t>
        </is>
      </c>
      <c r="D1" s="12" t="inlineStr">
        <is>
          <t>Tipo movimiento</t>
        </is>
      </c>
      <c r="E1" s="12" t="inlineStr">
        <is>
          <t>Descripción</t>
        </is>
      </c>
      <c r="F1" s="12" t="inlineStr">
        <is>
          <t>Importe declarado</t>
        </is>
      </c>
      <c r="G1" s="12" t="inlineStr">
        <is>
          <t>Importe banco</t>
        </is>
      </c>
      <c r="H1" s="12" t="inlineStr">
        <is>
          <t>Importe caja/POS</t>
        </is>
      </c>
      <c r="I1" s="12" t="inlineStr">
        <is>
          <t>Medio de pago</t>
        </is>
      </c>
      <c r="J1" s="12" t="inlineStr">
        <is>
          <t>Referencia externa</t>
        </is>
      </c>
      <c r="K1" s="12" t="inlineStr">
        <is>
          <t>Estado esperado</t>
        </is>
      </c>
      <c r="L1" s="12" t="inlineStr">
        <is>
          <t>Observación dueño</t>
        </is>
      </c>
      <c r="M1" s="12" t="inlineStr">
        <is>
          <t>Diferencia banco vs caja</t>
        </is>
      </c>
      <c r="N1" s="12" t="inlineStr">
        <is>
          <t>Señal First Aid</t>
        </is>
      </c>
      <c r="O1" s="12" t="inlineStr">
        <is>
          <t>Límite owner-safe</t>
        </is>
      </c>
    </row>
    <row r="2" ht="22" customHeight="1">
      <c r="A2" s="13" t="inlineStr">
        <is>
          <t>MOV-001</t>
        </is>
      </c>
      <c r="B2" s="13" t="inlineStr">
        <is>
          <t>2026-06-01</t>
        </is>
      </c>
      <c r="C2" s="14" t="inlineStr">
        <is>
          <t>Banco</t>
        </is>
      </c>
      <c r="D2" s="14" t="inlineStr">
        <is>
          <t>Ingreso</t>
        </is>
      </c>
      <c r="E2" s="14" t="inlineStr">
        <is>
          <t>Venta local estándar</t>
        </is>
      </c>
      <c r="F2" s="15" t="n">
        <v>15000</v>
      </c>
      <c r="G2" s="15" t="n">
        <v>15000</v>
      </c>
      <c r="H2" s="15" t="n">
        <v>15000</v>
      </c>
      <c r="I2" s="13" t="inlineStr">
        <is>
          <t>Tarjeta</t>
        </is>
      </c>
      <c r="J2" s="13" t="inlineStr">
        <is>
          <t>REF-101</t>
        </is>
      </c>
      <c r="K2" s="14" t="inlineStr">
        <is>
          <t>OK_COINCIDENTE</t>
        </is>
      </c>
      <c r="L2" s="14" t="inlineStr">
        <is>
          <t>Venta de mostrador cobrada por terminal</t>
        </is>
      </c>
      <c r="M2" s="16">
        <f>IF(OR(ISTEXT(G2),ISTEXT(H2)), "N/A", IF(OR(ISBLANK(G2),ISBLANK(H2)), G2-IF(ISBLANK(H2),0,H2), G2-H2))</f>
        <v/>
      </c>
      <c r="N2" s="17">
        <f>K2</f>
        <v/>
      </c>
      <c r="O2" s="18">
        <f>VLOOKUP(N2, Categorias!$D$4:$E$14, 2, FALSE)</f>
        <v/>
      </c>
    </row>
    <row r="3" ht="22" customHeight="1">
      <c r="A3" s="19" t="inlineStr">
        <is>
          <t>MOV-002</t>
        </is>
      </c>
      <c r="B3" s="19" t="inlineStr">
        <is>
          <t>2026-06-02</t>
        </is>
      </c>
      <c r="C3" s="20" t="inlineStr">
        <is>
          <t>Mercado Pago</t>
        </is>
      </c>
      <c r="D3" s="20" t="inlineStr">
        <is>
          <t>Ingreso</t>
        </is>
      </c>
      <c r="E3" s="20" t="inlineStr">
        <is>
          <t>Cobro online plataforma</t>
        </is>
      </c>
      <c r="F3" s="21" t="n">
        <v>10000</v>
      </c>
      <c r="G3" s="21" t="n">
        <v>9500</v>
      </c>
      <c r="H3" s="21" t="n">
        <v>10000</v>
      </c>
      <c r="I3" s="19" t="inlineStr">
        <is>
          <t>Transferencia</t>
        </is>
      </c>
      <c r="J3" s="19" t="inlineStr">
        <is>
          <t>REF-102</t>
        </is>
      </c>
      <c r="K3" s="20" t="inlineStr">
        <is>
          <t>DIFERENCIA_MENOR_COMISION</t>
        </is>
      </c>
      <c r="L3" s="20" t="inlineStr">
        <is>
          <t>Cobro neto con retención de comisión estándar</t>
        </is>
      </c>
      <c r="M3" s="22">
        <f>IF(OR(ISTEXT(G3),ISTEXT(H3)), "N/A", IF(OR(ISBLANK(G3),ISBLANK(H3)), G3-IF(ISBLANK(H3),0,H3), G3-H3))</f>
        <v/>
      </c>
      <c r="N3" s="23">
        <f>K3</f>
        <v/>
      </c>
      <c r="O3" s="24">
        <f>VLOOKUP(N3, Categorias!$D$4:$E$14, 2, FALSE)</f>
        <v/>
      </c>
    </row>
    <row r="4" ht="22" customHeight="1">
      <c r="A4" s="13" t="inlineStr">
        <is>
          <t>MOV-003</t>
        </is>
      </c>
      <c r="B4" s="13" t="inlineStr">
        <is>
          <t>2026-06-03</t>
        </is>
      </c>
      <c r="C4" s="14" t="inlineStr">
        <is>
          <t>Banco</t>
        </is>
      </c>
      <c r="D4" s="14" t="inlineStr">
        <is>
          <t>Egreso</t>
        </is>
      </c>
      <c r="E4" s="14" t="inlineStr">
        <is>
          <t>Mantenimiento cuenta</t>
        </is>
      </c>
      <c r="F4" s="15" t="n">
        <v>2500</v>
      </c>
      <c r="G4" s="15" t="n">
        <v>2500</v>
      </c>
      <c r="H4" s="15" t="n">
        <v>0</v>
      </c>
      <c r="I4" s="13" t="inlineStr">
        <is>
          <t>Débito aut</t>
        </is>
      </c>
      <c r="J4" s="13" t="inlineStr">
        <is>
          <t>REF-103</t>
        </is>
      </c>
      <c r="K4" s="14" t="inlineStr">
        <is>
          <t>BANCO_SIN_CONTRAPARTE</t>
        </is>
      </c>
      <c r="L4" s="14" t="inlineStr">
        <is>
          <t>Cargo automático del banco, no cargado en caja</t>
        </is>
      </c>
      <c r="M4" s="16">
        <f>IF(OR(ISTEXT(G4),ISTEXT(H4)), "N/A", IF(OR(ISBLANK(G4),ISBLANK(H4)), G4-IF(ISBLANK(H4),0,H4), G4-H4))</f>
        <v/>
      </c>
      <c r="N4" s="25">
        <f>K4</f>
        <v/>
      </c>
      <c r="O4" s="18">
        <f>VLOOKUP(N4, Categorias!$D$4:$E$14, 2, FALSE)</f>
        <v/>
      </c>
    </row>
    <row r="5" ht="22" customHeight="1">
      <c r="A5" s="19" t="inlineStr">
        <is>
          <t>MOV-004</t>
        </is>
      </c>
      <c r="B5" s="19" t="inlineStr">
        <is>
          <t>2026-06-04</t>
        </is>
      </c>
      <c r="C5" s="20" t="inlineStr">
        <is>
          <t>Caja diaria</t>
        </is>
      </c>
      <c r="D5" s="20" t="inlineStr">
        <is>
          <t>Ingreso</t>
        </is>
      </c>
      <c r="E5" s="20" t="inlineStr">
        <is>
          <t>Venta efectivo salón</t>
        </is>
      </c>
      <c r="F5" s="21" t="n">
        <v>8000</v>
      </c>
      <c r="G5" s="21" t="n">
        <v>0</v>
      </c>
      <c r="H5" s="21" t="n">
        <v>8000</v>
      </c>
      <c r="I5" s="19" t="inlineStr">
        <is>
          <t>Efectivo</t>
        </is>
      </c>
      <c r="J5" s="19" t="inlineStr">
        <is>
          <t>REF-104</t>
        </is>
      </c>
      <c r="K5" s="20" t="inlineStr">
        <is>
          <t>CAJA_SIN_BANCO</t>
        </is>
      </c>
      <c r="L5" s="20" t="inlineStr">
        <is>
          <t>Efectivo guardado físicamente en caja fuerte</t>
        </is>
      </c>
      <c r="M5" s="22">
        <f>IF(OR(ISTEXT(G5),ISTEXT(H5)), "N/A", IF(OR(ISBLANK(G5),ISBLANK(H5)), G5-IF(ISBLANK(H5),0,H5), G5-H5))</f>
        <v/>
      </c>
      <c r="N5" s="25">
        <f>K5</f>
        <v/>
      </c>
      <c r="O5" s="24">
        <f>VLOOKUP(N5, Categorias!$D$4:$E$14, 2, FALSE)</f>
        <v/>
      </c>
    </row>
    <row r="6" ht="22" customHeight="1">
      <c r="A6" s="13" t="inlineStr">
        <is>
          <t>MOV-005</t>
        </is>
      </c>
      <c r="B6" s="13" t="inlineStr">
        <is>
          <t>2026-06-05</t>
        </is>
      </c>
      <c r="C6" s="14" t="inlineStr">
        <is>
          <t>Banco</t>
        </is>
      </c>
      <c r="D6" s="14" t="inlineStr">
        <is>
          <t>Egreso</t>
        </is>
      </c>
      <c r="E6" s="14" t="inlineStr">
        <is>
          <t>Reversa de cargo a cliente</t>
        </is>
      </c>
      <c r="F6" s="15" t="n">
        <v>-4500</v>
      </c>
      <c r="G6" s="15" t="n">
        <v>-4500</v>
      </c>
      <c r="H6" s="15" t="n">
        <v>-4500</v>
      </c>
      <c r="I6" s="13" t="inlineStr">
        <is>
          <t>Transferencia</t>
        </is>
      </c>
      <c r="J6" s="13" t="inlineStr">
        <is>
          <t>REF-105</t>
        </is>
      </c>
      <c r="K6" s="14" t="inlineStr">
        <is>
          <t>OK_COINCIDENTE</t>
        </is>
      </c>
      <c r="L6" s="14" t="inlineStr">
        <is>
          <t>Importe negativo válido por nota de crédito</t>
        </is>
      </c>
      <c r="M6" s="16">
        <f>IF(OR(ISTEXT(G6),ISTEXT(H6)), "N/A", IF(OR(ISBLANK(G6),ISBLANK(H6)), G6-IF(ISBLANK(H6),0,H6), G6-H6))</f>
        <v/>
      </c>
      <c r="N6" s="17">
        <f>K6</f>
        <v/>
      </c>
      <c r="O6" s="18">
        <f>VLOOKUP(N6, Categorias!$D$4:$E$14, 2, FALSE)</f>
        <v/>
      </c>
    </row>
    <row r="7" ht="22" customHeight="1">
      <c r="A7" s="19" t="inlineStr">
        <is>
          <t>MOV-006</t>
        </is>
      </c>
      <c r="B7" s="19" t="inlineStr">
        <is>
          <t>2026-06-06</t>
        </is>
      </c>
      <c r="C7" s="20" t="inlineStr">
        <is>
          <t>POS</t>
        </is>
      </c>
      <c r="D7" s="20" t="inlineStr">
        <is>
          <t>Ingreso</t>
        </is>
      </c>
      <c r="E7" s="20" t="inlineStr">
        <is>
          <t>Prueba terminal posnet</t>
        </is>
      </c>
      <c r="F7" s="21" t="n">
        <v>0</v>
      </c>
      <c r="G7" s="21" t="n">
        <v>0</v>
      </c>
      <c r="H7" s="21" t="n">
        <v>0</v>
      </c>
      <c r="I7" s="19" t="inlineStr">
        <is>
          <t>Tarjeta</t>
        </is>
      </c>
      <c r="J7" s="19" t="inlineStr">
        <is>
          <t>REF-106</t>
        </is>
      </c>
      <c r="K7" s="20" t="inlineStr">
        <is>
          <t>IMPORTE_CERO_A_CONFIRMAR</t>
        </is>
      </c>
      <c r="L7" s="20" t="inlineStr">
        <is>
          <t>Monto cero registrado, verificar si fue rechazada</t>
        </is>
      </c>
      <c r="M7" s="22">
        <f>IF(OR(ISTEXT(G7),ISTEXT(H7)), "N/A", IF(OR(ISBLANK(G7),ISBLANK(H7)), G7-IF(ISBLANK(H7),0,H7), G7-H7))</f>
        <v/>
      </c>
      <c r="N7" s="26">
        <f>K7</f>
        <v/>
      </c>
      <c r="O7" s="24">
        <f>VLOOKUP(N7, Categorias!$D$4:$E$14, 2, FALSE)</f>
        <v/>
      </c>
    </row>
    <row r="8" ht="22" customHeight="1">
      <c r="A8" s="13" t="inlineStr">
        <is>
          <t>MOV-007</t>
        </is>
      </c>
      <c r="B8" s="13" t="inlineStr">
        <is>
          <t>2026-06-07</t>
        </is>
      </c>
      <c r="C8" s="14" t="inlineStr">
        <is>
          <t>Banco</t>
        </is>
      </c>
      <c r="D8" s="14" t="inlineStr">
        <is>
          <t>Ingreso</t>
        </is>
      </c>
      <c r="E8" s="14" t="inlineStr">
        <is>
          <t>Transferencia recibida cta</t>
        </is>
      </c>
      <c r="F8" s="15" t="n">
        <v>12000</v>
      </c>
      <c r="G8" s="15" t="n">
        <v>12000</v>
      </c>
      <c r="H8" s="27" t="n"/>
      <c r="I8" s="13" t="inlineStr">
        <is>
          <t>Transferencia</t>
        </is>
      </c>
      <c r="J8" s="13" t="inlineStr">
        <is>
          <t>REF-107</t>
        </is>
      </c>
      <c r="K8" s="14" t="inlineStr">
        <is>
          <t>IMPORTE_FALTANTE</t>
        </is>
      </c>
      <c r="L8" s="14" t="inlineStr">
        <is>
          <t>Falta registrar el importe en la planilla interna de caja</t>
        </is>
      </c>
      <c r="M8" s="16">
        <f>IF(OR(ISTEXT(G8),ISTEXT(H8)), "N/A", IF(OR(ISBLANK(G8),ISBLANK(H8)), G8-IF(ISBLANK(H8),0,H8), G8-H8))</f>
        <v/>
      </c>
      <c r="N8" s="26">
        <f>K8</f>
        <v/>
      </c>
      <c r="O8" s="18">
        <f>VLOOKUP(N8, Categorias!$D$4:$E$14, 2, FALSE)</f>
        <v/>
      </c>
    </row>
    <row r="9" ht="22" customHeight="1">
      <c r="A9" s="19" t="inlineStr">
        <is>
          <t>MOV-008</t>
        </is>
      </c>
      <c r="B9" s="19" t="inlineStr">
        <is>
          <t>2026-06-08</t>
        </is>
      </c>
      <c r="C9" s="20" t="inlineStr">
        <is>
          <t>Caja diaria</t>
        </is>
      </c>
      <c r="D9" s="20" t="inlineStr">
        <is>
          <t>Ingreso</t>
        </is>
      </c>
      <c r="E9" s="20" t="inlineStr">
        <is>
          <t>Ajuste manual de caja</t>
        </is>
      </c>
      <c r="F9" s="28" t="inlineStr">
        <is>
          <t>12,34,56</t>
        </is>
      </c>
      <c r="G9" s="21" t="n">
        <v>0</v>
      </c>
      <c r="H9" s="28" t="inlineStr">
        <is>
          <t>12,34,56</t>
        </is>
      </c>
      <c r="I9" s="19" t="inlineStr">
        <is>
          <t>Efectivo</t>
        </is>
      </c>
      <c r="J9" s="19" t="inlineStr">
        <is>
          <t>REF-108</t>
        </is>
      </c>
      <c r="K9" s="20" t="inlineStr">
        <is>
          <t>IMPORTE_AMBIGUO_NO_COMPARABLE</t>
        </is>
      </c>
      <c r="L9" s="20" t="inlineStr">
        <is>
          <t>Importe textual ambiguo ingresado por error</t>
        </is>
      </c>
      <c r="M9" s="22">
        <f>IF(OR(ISTEXT(G9),ISTEXT(H9)), "N/A", IF(OR(ISBLANK(G9),ISBLANK(H9)), G9-IF(ISBLANK(H9),0,H9), G9-H9))</f>
        <v/>
      </c>
      <c r="N9" s="26">
        <f>K9</f>
        <v/>
      </c>
      <c r="O9" s="24">
        <f>VLOOKUP(N9, Categorias!$D$4:$E$14, 2, FALSE)</f>
        <v/>
      </c>
    </row>
    <row r="10" ht="22" customHeight="1">
      <c r="A10" s="13" t="inlineStr">
        <is>
          <t>MOV-009</t>
        </is>
      </c>
      <c r="B10" s="13" t="inlineStr">
        <is>
          <t>2026-06-09</t>
        </is>
      </c>
      <c r="C10" s="14" t="inlineStr">
        <is>
          <t>Banco</t>
        </is>
      </c>
      <c r="D10" s="14" t="inlineStr">
        <is>
          <t>Ingreso</t>
        </is>
      </c>
      <c r="E10" s="14" t="inlineStr">
        <is>
          <t>Pago cliente formato regional</t>
        </is>
      </c>
      <c r="F10" s="27" t="inlineStr">
        <is>
          <t>$ 148.200,50</t>
        </is>
      </c>
      <c r="G10" s="15" t="n">
        <v>148200.5</v>
      </c>
      <c r="H10" s="15" t="n">
        <v>148200.5</v>
      </c>
      <c r="I10" s="13" t="inlineStr">
        <is>
          <t>Transferencia</t>
        </is>
      </c>
      <c r="J10" s="13" t="inlineStr">
        <is>
          <t>REF-109</t>
        </is>
      </c>
      <c r="K10" s="14" t="inlineStr">
        <is>
          <t>IMPORTE_AMBIGUO_NO_COMPARABLE</t>
        </is>
      </c>
      <c r="L10" s="14" t="inlineStr">
        <is>
          <t>Formato argentino ingresado como texto literal</t>
        </is>
      </c>
      <c r="M10" s="16">
        <f>IF(OR(ISTEXT(G10),ISTEXT(H10)), "N/A", IF(OR(ISBLANK(G10),ISBLANK(H10)), G10-IF(ISBLANK(H10),0,H10), G10-H10))</f>
        <v/>
      </c>
      <c r="N10" s="26">
        <f>K10</f>
        <v/>
      </c>
      <c r="O10" s="18">
        <f>VLOOKUP(N10, Categorias!$D$4:$E$14, 2, FALSE)</f>
        <v/>
      </c>
    </row>
    <row r="11" ht="22" customHeight="1">
      <c r="A11" s="19" t="inlineStr">
        <is>
          <t>MOV-010</t>
        </is>
      </c>
      <c r="B11" s="19" t="inlineStr">
        <is>
          <t>2026-06-10</t>
        </is>
      </c>
      <c r="C11" s="20" t="inlineStr">
        <is>
          <t>Banco</t>
        </is>
      </c>
      <c r="D11" s="20" t="inlineStr">
        <is>
          <t>Ingreso</t>
        </is>
      </c>
      <c r="E11" s="20" t="inlineStr">
        <is>
          <t>Cobro lote tarjetas</t>
        </is>
      </c>
      <c r="F11" s="21" t="n">
        <v>5000</v>
      </c>
      <c r="G11" s="21" t="n">
        <v>5000</v>
      </c>
      <c r="H11" s="21" t="n">
        <v>5000</v>
      </c>
      <c r="I11" s="19" t="inlineStr">
        <is>
          <t>Tarjeta</t>
        </is>
      </c>
      <c r="J11" s="19" t="inlineStr">
        <is>
          <t>REF-110</t>
        </is>
      </c>
      <c r="K11" s="20" t="inlineStr">
        <is>
          <t>POSIBLE_DUPLICADO</t>
        </is>
      </c>
      <c r="L11" s="20" t="inlineStr">
        <is>
          <t>Posible duplicado de lote, verificar liquidación</t>
        </is>
      </c>
      <c r="M11" s="22">
        <f>IF(OR(ISTEXT(G11),ISTEXT(H11)), "N/A", IF(OR(ISBLANK(G11),ISBLANK(H11)), G11-IF(ISBLANK(H11),0,H11), G11-H11))</f>
        <v/>
      </c>
      <c r="N11" s="26">
        <f>K11</f>
        <v/>
      </c>
      <c r="O11" s="24">
        <f>VLOOKUP(N11, Categorias!$D$4:$E$14, 2, FALSE)</f>
        <v/>
      </c>
    </row>
    <row r="12" ht="22" customHeight="1">
      <c r="A12" s="13" t="inlineStr">
        <is>
          <t>MOV-011</t>
        </is>
      </c>
      <c r="B12" s="13" t="inlineStr">
        <is>
          <t>2026-06-10</t>
        </is>
      </c>
      <c r="C12" s="14" t="inlineStr">
        <is>
          <t>Banco</t>
        </is>
      </c>
      <c r="D12" s="14" t="inlineStr">
        <is>
          <t>Ingreso</t>
        </is>
      </c>
      <c r="E12" s="14" t="inlineStr">
        <is>
          <t>Cobro lote tarjetas</t>
        </is>
      </c>
      <c r="F12" s="15" t="n">
        <v>5000</v>
      </c>
      <c r="G12" s="15" t="n">
        <v>5000</v>
      </c>
      <c r="H12" s="15" t="n">
        <v>5000</v>
      </c>
      <c r="I12" s="13" t="inlineStr">
        <is>
          <t>Tarjeta</t>
        </is>
      </c>
      <c r="J12" s="13" t="inlineStr">
        <is>
          <t>REF-110</t>
        </is>
      </c>
      <c r="K12" s="14" t="inlineStr">
        <is>
          <t>POSIBLE_DUPLICADO</t>
        </is>
      </c>
      <c r="L12" s="14" t="inlineStr">
        <is>
          <t>Mismo importe, fecha y referencia externa</t>
        </is>
      </c>
      <c r="M12" s="16">
        <f>IF(OR(ISTEXT(G12),ISTEXT(H12)), "N/A", IF(OR(ISBLANK(G12),ISBLANK(H12)), G12-IF(ISBLANK(H12),0,H12), G12-H12))</f>
        <v/>
      </c>
      <c r="N12" s="26">
        <f>K12</f>
        <v/>
      </c>
      <c r="O12" s="18">
        <f>VLOOKUP(N12, Categorias!$D$4:$E$14, 2, FALSE)</f>
        <v/>
      </c>
    </row>
    <row r="13" ht="22" customHeight="1">
      <c r="A13" s="19" t="inlineStr">
        <is>
          <t>MOV-012</t>
        </is>
      </c>
      <c r="B13" s="19" t="inlineStr">
        <is>
          <t>2026-06-11</t>
        </is>
      </c>
      <c r="C13" s="20" t="inlineStr">
        <is>
          <t>POS</t>
        </is>
      </c>
      <c r="D13" s="20" t="inlineStr">
        <is>
          <t>Ingreso</t>
        </is>
      </c>
      <c r="E13" s="20" t="inlineStr">
        <is>
          <t>Venta mostrador sin ref</t>
        </is>
      </c>
      <c r="F13" s="21" t="n">
        <v>3400</v>
      </c>
      <c r="G13" s="21" t="n">
        <v>3400</v>
      </c>
      <c r="H13" s="21" t="n">
        <v>3400</v>
      </c>
      <c r="I13" s="19" t="inlineStr">
        <is>
          <t>Tarjeta</t>
        </is>
      </c>
      <c r="J13" s="19" t="n"/>
      <c r="K13" s="20" t="inlineStr">
        <is>
          <t>OK_COINCIDENTE</t>
        </is>
      </c>
      <c r="L13" s="20" t="inlineStr">
        <is>
          <t>Referencia externa faltante pero valores coinciden exactos</t>
        </is>
      </c>
      <c r="M13" s="22">
        <f>IF(OR(ISTEXT(G13),ISTEXT(H13)), "N/A", IF(OR(ISBLANK(G13),ISBLANK(H13)), G13-IF(ISBLANK(H13),0,H13), G13-H13))</f>
        <v/>
      </c>
      <c r="N13" s="17">
        <f>K13</f>
        <v/>
      </c>
      <c r="O13" s="24">
        <f>VLOOKUP(N13, Categorias!$D$4:$E$14, 2, FALSE)</f>
        <v/>
      </c>
    </row>
    <row r="14" ht="22" customHeight="1">
      <c r="A14" s="13" t="inlineStr">
        <is>
          <t>MOV-013</t>
        </is>
      </c>
      <c r="B14" s="13" t="inlineStr">
        <is>
          <t>2026-06-12</t>
        </is>
      </c>
      <c r="C14" s="14" t="inlineStr">
        <is>
          <t>Caja diaria</t>
        </is>
      </c>
      <c r="D14" s="14" t="inlineStr">
        <is>
          <t>Egreso</t>
        </is>
      </c>
      <c r="E14" s="14" t="inlineStr">
        <is>
          <t>Retiro personal de socios</t>
        </is>
      </c>
      <c r="F14" s="15" t="n">
        <v>20000</v>
      </c>
      <c r="G14" s="15" t="n">
        <v>0</v>
      </c>
      <c r="H14" s="15" t="n">
        <v>20000</v>
      </c>
      <c r="I14" s="13" t="inlineStr">
        <is>
          <t>Efectivo</t>
        </is>
      </c>
      <c r="J14" s="13" t="inlineStr">
        <is>
          <t>REF-113</t>
        </is>
      </c>
      <c r="K14" s="14" t="inlineStr">
        <is>
          <t>RETIRO_DECLARADO</t>
        </is>
      </c>
      <c r="L14" s="14" t="inlineStr">
        <is>
          <t>Retiro del dueño declarado formalmente</t>
        </is>
      </c>
      <c r="M14" s="16">
        <f>IF(OR(ISTEXT(G14),ISTEXT(H14)), "N/A", IF(OR(ISBLANK(G14),ISBLANK(H14)), G14-IF(ISBLANK(H14),0,H14), G14-H14))</f>
        <v/>
      </c>
      <c r="N14" s="17">
        <f>K14</f>
        <v/>
      </c>
      <c r="O14" s="18">
        <f>VLOOKUP(N14, Categorias!$D$4:$E$14, 2, FALSE)</f>
        <v/>
      </c>
    </row>
    <row r="15" ht="22" customHeight="1">
      <c r="A15" s="19" t="inlineStr">
        <is>
          <t>MOV-014</t>
        </is>
      </c>
      <c r="B15" s="19" t="inlineStr">
        <is>
          <t>2026-06-13</t>
        </is>
      </c>
      <c r="C15" s="20" t="inlineStr">
        <is>
          <t>Mercado Pago</t>
        </is>
      </c>
      <c r="D15" s="20" t="inlineStr">
        <is>
          <t>Egreso</t>
        </is>
      </c>
      <c r="E15" s="20" t="inlineStr">
        <is>
          <t>Comisión Mercado Pago</t>
        </is>
      </c>
      <c r="F15" s="21" t="n">
        <v>450</v>
      </c>
      <c r="G15" s="21" t="n">
        <v>0</v>
      </c>
      <c r="H15" s="21" t="n">
        <v>450</v>
      </c>
      <c r="I15" s="19" t="inlineStr">
        <is>
          <t>Transferencia</t>
        </is>
      </c>
      <c r="J15" s="19" t="inlineStr">
        <is>
          <t>REF-114</t>
        </is>
      </c>
      <c r="K15" s="20" t="inlineStr">
        <is>
          <t>DIFERENCIA_MENOR_COMISION</t>
        </is>
      </c>
      <c r="L15" s="20" t="inlineStr">
        <is>
          <t>Gasto operativo deducido por la billetera virtual</t>
        </is>
      </c>
      <c r="M15" s="22">
        <f>IF(OR(ISTEXT(G15),ISTEXT(H15)), "N/A", IF(OR(ISBLANK(G15),ISBLANK(H15)), G15-IF(ISBLANK(H15),0,H15), G15-H15))</f>
        <v/>
      </c>
      <c r="N15" s="23">
        <f>K15</f>
        <v/>
      </c>
      <c r="O15" s="24">
        <f>VLOOKUP(N15, Categorias!$D$4:$E$14, 2, FALSE)</f>
        <v/>
      </c>
    </row>
    <row r="16" ht="22" customHeight="1">
      <c r="A16" s="13" t="inlineStr">
        <is>
          <t>MOV-015</t>
        </is>
      </c>
      <c r="B16" s="13" t="inlineStr">
        <is>
          <t>2026-06-14</t>
        </is>
      </c>
      <c r="C16" s="14" t="inlineStr">
        <is>
          <t>Banco</t>
        </is>
      </c>
      <c r="D16" s="14" t="inlineStr">
        <is>
          <t>Ingreso</t>
        </is>
      </c>
      <c r="E16" s="14" t="inlineStr">
        <is>
          <t>Transferencia sin id</t>
        </is>
      </c>
      <c r="F16" s="15" t="n">
        <v>18500</v>
      </c>
      <c r="G16" s="15" t="n">
        <v>18500</v>
      </c>
      <c r="H16" s="15" t="n">
        <v>0</v>
      </c>
      <c r="I16" s="13" t="inlineStr">
        <is>
          <t>Transferencia</t>
        </is>
      </c>
      <c r="J16" s="13" t="inlineStr">
        <is>
          <t>REF-115</t>
        </is>
      </c>
      <c r="K16" s="14" t="inlineStr">
        <is>
          <t>NO_CONCILIABLE_CON_UNA_FUENTE</t>
        </is>
      </c>
      <c r="L16" s="14" t="inlineStr">
        <is>
          <t>Transferencia bancaria sin identificación de contraparte</t>
        </is>
      </c>
      <c r="M16" s="16">
        <f>IF(OR(ISTEXT(G16),ISTEXT(H16)), "N/A", IF(OR(ISBLANK(G16),ISBLANK(H16)), G16-IF(ISBLANK(H16),0,H16), G16-H16))</f>
        <v/>
      </c>
      <c r="N16" s="25">
        <f>K16</f>
        <v/>
      </c>
      <c r="O16" s="18">
        <f>VLOOKUP(N16, Categorias!$D$4:$E$14, 2, FALSE)</f>
        <v/>
      </c>
    </row>
    <row r="17" ht="22" customHeight="1">
      <c r="A17" s="19" t="inlineStr">
        <is>
          <t>MOV-016</t>
        </is>
      </c>
      <c r="B17" s="19" t="inlineStr">
        <is>
          <t>2025-12-31</t>
        </is>
      </c>
      <c r="C17" s="20" t="inlineStr">
        <is>
          <t>Banco</t>
        </is>
      </c>
      <c r="D17" s="20" t="inlineStr">
        <is>
          <t>Ingreso</t>
        </is>
      </c>
      <c r="E17" s="20" t="inlineStr">
        <is>
          <t>Ajuste saldo inicial anterior</t>
        </is>
      </c>
      <c r="F17" s="21" t="n">
        <v>6000</v>
      </c>
      <c r="G17" s="21" t="n">
        <v>6000</v>
      </c>
      <c r="H17" s="21" t="n">
        <v>6000</v>
      </c>
      <c r="I17" s="19" t="inlineStr">
        <is>
          <t>Transferencia</t>
        </is>
      </c>
      <c r="J17" s="19" t="inlineStr">
        <is>
          <t>REF-116</t>
        </is>
      </c>
      <c r="K17" s="20" t="inlineStr">
        <is>
          <t>FECHA_FUERA_DE_PERIODO</t>
        </is>
      </c>
      <c r="L17" s="20" t="inlineStr">
        <is>
          <t>Fecha fuera de período de auditoría actual</t>
        </is>
      </c>
      <c r="M17" s="22">
        <f>IF(OR(ISTEXT(G17),ISTEXT(H17)), "N/A", IF(OR(ISBLANK(G17),ISBLANK(H17)), G17-IF(ISBLANK(H17),0,H17), G17-H17))</f>
        <v/>
      </c>
      <c r="N17" s="26">
        <f>K17</f>
        <v/>
      </c>
      <c r="O17" s="24">
        <f>VLOOKUP(N17, Categorias!$D$4:$E$14, 2, FALSE)</f>
        <v/>
      </c>
    </row>
    <row r="18" ht="22" customHeight="1">
      <c r="A18" s="13" t="inlineStr">
        <is>
          <t>MOV-017</t>
        </is>
      </c>
      <c r="B18" s="13" t="inlineStr">
        <is>
          <t>2026-06-15</t>
        </is>
      </c>
      <c r="C18" s="14" t="inlineStr">
        <is>
          <t>Banco</t>
        </is>
      </c>
      <c r="D18" s="14" t="inlineStr">
        <is>
          <t>Ingreso</t>
        </is>
      </c>
      <c r="E18" s="14" t="inlineStr">
        <is>
          <t>Venta web regular</t>
        </is>
      </c>
      <c r="F18" s="15" t="n">
        <v>7500</v>
      </c>
      <c r="G18" s="15" t="n">
        <v>7500</v>
      </c>
      <c r="H18" s="15" t="n">
        <v>7500</v>
      </c>
      <c r="I18" s="13" t="inlineStr">
        <is>
          <t>Tarjeta</t>
        </is>
      </c>
      <c r="J18" s="13" t="inlineStr">
        <is>
          <t>REF-117</t>
        </is>
      </c>
      <c r="K18" s="14" t="inlineStr">
        <is>
          <t>OK_COINCIDENTE</t>
        </is>
      </c>
      <c r="L18" s="14" t="inlineStr">
        <is>
          <t>Conciliación exacta estándar</t>
        </is>
      </c>
      <c r="M18" s="16">
        <f>IF(OR(ISTEXT(G18),ISTEXT(H18)), "N/A", IF(OR(ISBLANK(G18),ISBLANK(H18)), G18-IF(ISBLANK(H18),0,H18), G18-H18))</f>
        <v/>
      </c>
      <c r="N18" s="17">
        <f>K18</f>
        <v/>
      </c>
      <c r="O18" s="18">
        <f>VLOOKUP(N18, Categorias!$D$4:$E$14, 2, FALSE)</f>
        <v/>
      </c>
    </row>
    <row r="19" ht="22" customHeight="1">
      <c r="A19" s="19" t="inlineStr">
        <is>
          <t>MOV-018</t>
        </is>
      </c>
      <c r="B19" s="19" t="inlineStr">
        <is>
          <t>2026-06-16</t>
        </is>
      </c>
      <c r="C19" s="20" t="inlineStr">
        <is>
          <t>Caja diaria</t>
        </is>
      </c>
      <c r="D19" s="20" t="inlineStr">
        <is>
          <t>Egreso</t>
        </is>
      </c>
      <c r="E19" s="20" t="inlineStr">
        <is>
          <t>Pago limpieza salón</t>
        </is>
      </c>
      <c r="F19" s="21" t="n">
        <v>12000</v>
      </c>
      <c r="G19" s="21" t="n">
        <v>0</v>
      </c>
      <c r="H19" s="21" t="n">
        <v>12000</v>
      </c>
      <c r="I19" s="19" t="inlineStr">
        <is>
          <t>Efectivo</t>
        </is>
      </c>
      <c r="J19" s="19" t="inlineStr">
        <is>
          <t>REF-118</t>
        </is>
      </c>
      <c r="K19" s="20" t="inlineStr">
        <is>
          <t>CAJA_SIN_BANCO</t>
        </is>
      </c>
      <c r="L19" s="20" t="inlineStr">
        <is>
          <t>Gasto menor liquidado puramente en efectivo</t>
        </is>
      </c>
      <c r="M19" s="22">
        <f>IF(OR(ISTEXT(G19),ISTEXT(H19)), "N/A", IF(OR(ISBLANK(G19),ISBLANK(H19)), G19-IF(ISBLANK(H19),0,H19), G19-H19))</f>
        <v/>
      </c>
      <c r="N19" s="25">
        <f>K19</f>
        <v/>
      </c>
      <c r="O19" s="24">
        <f>VLOOKUP(N19, Categorias!$D$4:$E$14, 2, FALSE)</f>
        <v/>
      </c>
    </row>
    <row r="20" ht="22" customHeight="1">
      <c r="A20" s="13" t="inlineStr">
        <is>
          <t>MOV-019</t>
        </is>
      </c>
      <c r="B20" s="13" t="inlineStr">
        <is>
          <t>2026-06-17</t>
        </is>
      </c>
      <c r="C20" s="14" t="inlineStr">
        <is>
          <t>Banco</t>
        </is>
      </c>
      <c r="D20" s="14" t="inlineStr">
        <is>
          <t>Egreso</t>
        </is>
      </c>
      <c r="E20" s="14" t="inlineStr">
        <is>
          <t>Impuesto al cheque deb</t>
        </is>
      </c>
      <c r="F20" s="15" t="n">
        <v>120</v>
      </c>
      <c r="G20" s="15" t="n">
        <v>120</v>
      </c>
      <c r="H20" s="15" t="n">
        <v>0</v>
      </c>
      <c r="I20" s="13" t="inlineStr">
        <is>
          <t>Débito aut</t>
        </is>
      </c>
      <c r="J20" s="13" t="inlineStr">
        <is>
          <t>REF-119</t>
        </is>
      </c>
      <c r="K20" s="14" t="inlineStr">
        <is>
          <t>BANCO_SIN_CONTRAPARTE</t>
        </is>
      </c>
      <c r="L20" s="14" t="inlineStr">
        <is>
          <t>Impuesto gubernamental debitado directo de cuenta</t>
        </is>
      </c>
      <c r="M20" s="16">
        <f>IF(OR(ISTEXT(G20),ISTEXT(H20)), "N/A", IF(OR(ISBLANK(G20),ISBLANK(H20)), G20-IF(ISBLANK(H20),0,H20), G20-H20))</f>
        <v/>
      </c>
      <c r="N20" s="25">
        <f>K20</f>
        <v/>
      </c>
      <c r="O20" s="18">
        <f>VLOOKUP(N20, Categorias!$D$4:$E$14, 2, FALSE)</f>
        <v/>
      </c>
    </row>
    <row r="21" ht="22" customHeight="1">
      <c r="A21" s="19" t="inlineStr">
        <is>
          <t>MOV-020</t>
        </is>
      </c>
      <c r="B21" s="19" t="inlineStr">
        <is>
          <t>2026-06-18</t>
        </is>
      </c>
      <c r="C21" s="20" t="inlineStr">
        <is>
          <t>POS</t>
        </is>
      </c>
      <c r="D21" s="20" t="inlineStr">
        <is>
          <t>Ingreso</t>
        </is>
      </c>
      <c r="E21" s="20" t="inlineStr">
        <is>
          <t>Cobro provisional unilat</t>
        </is>
      </c>
      <c r="F21" s="21" t="n">
        <v>4500</v>
      </c>
      <c r="G21" s="21" t="n">
        <v>4500</v>
      </c>
      <c r="H21" s="21" t="n">
        <v>0</v>
      </c>
      <c r="I21" s="19" t="inlineStr">
        <is>
          <t>Tarjeta</t>
        </is>
      </c>
      <c r="J21" s="19" t="inlineStr">
        <is>
          <t>REF-120</t>
        </is>
      </c>
      <c r="K21" s="20" t="inlineStr">
        <is>
          <t>NO_CONCILIABLE_CON_UNA_FUENTE</t>
        </is>
      </c>
      <c r="L21" s="20" t="inlineStr">
        <is>
          <t>Información unilateral de un solo canal, no cerrar conciliación</t>
        </is>
      </c>
      <c r="M21" s="22">
        <f>IF(OR(ISTEXT(G21),ISTEXT(H21)), "N/A", IF(OR(ISBLANK(G21),ISBLANK(H21)), G21-IF(ISBLANK(H21),0,H21), G21-H21))</f>
        <v/>
      </c>
      <c r="N21" s="25">
        <f>K21</f>
        <v/>
      </c>
      <c r="O21" s="24">
        <f>VLOOKUP(N21, Categorias!$D$4:$E$14, 2, FALSE)</f>
        <v/>
      </c>
    </row>
  </sheetData>
  <autoFilter ref="A1:O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85" customWidth="1" min="2" max="2"/>
  </cols>
  <sheetData>
    <row r="1" ht="40" customHeight="1">
      <c r="A1" s="1" t="inlineStr">
        <is>
          <t xml:space="preserve"> INFORME DE ADMISIÓN Y RESUMEN AUTOMÁTICO DE SEÑALES</t>
        </is>
      </c>
    </row>
    <row r="2"/>
    <row r="3">
      <c r="A3" s="29" t="inlineStr">
        <is>
          <t>pilot_id</t>
        </is>
      </c>
      <c r="B3" s="11" t="inlineStr">
        <is>
          <t>PILOT_004</t>
        </is>
      </c>
    </row>
    <row r="4">
      <c r="A4" s="29" t="inlineStr">
        <is>
          <t>case_option</t>
        </is>
      </c>
      <c r="B4" s="11" t="inlineStr">
        <is>
          <t>CASH_BANK_OR_SIMPLE_RECONCILIATION</t>
        </is>
      </c>
    </row>
    <row r="5">
      <c r="A5" s="29" t="inlineStr">
        <is>
          <t>evidence_type</t>
        </is>
      </c>
      <c r="B5" s="11" t="inlineStr">
        <is>
          <t>XLSX_SYNTHETIC</t>
        </is>
      </c>
    </row>
    <row r="6">
      <c r="A6" s="29" t="inlineStr">
        <is>
          <t>admission_verdict</t>
        </is>
      </c>
      <c r="B6" s="30" t="inlineStr">
        <is>
          <t>ACCEPTED</t>
        </is>
      </c>
    </row>
    <row r="7"/>
    <row r="8" ht="25" customHeight="1">
      <c r="A8" s="8" t="inlineStr">
        <is>
          <t>Criterio Cualitativo / Marco de Control</t>
        </is>
      </c>
      <c r="B8" s="8" t="inlineStr">
        <is>
          <t>Dictamen de Borde Técnico / Prudencia Profesional</t>
        </is>
      </c>
    </row>
    <row r="9" ht="28" customHeight="1">
      <c r="A9" s="3" t="inlineStr">
        <is>
          <t>what_can_be_reviewed</t>
        </is>
      </c>
      <c r="B9" s="5" t="inlineStr">
        <is>
          <t>Revisión preliminar de movimientos declarados por el propietario y correspondencia matemática inicial entre los registros documentales provistos.</t>
        </is>
      </c>
    </row>
    <row r="10" ht="28" customHeight="1">
      <c r="A10" s="3" t="inlineStr">
        <is>
          <t>what_cannot_be_claimed</t>
        </is>
      </c>
      <c r="B10" s="5" t="inlineStr">
        <is>
          <t>Prohibido afirmar fraude, dolo, intencionalidad, pérdida contable definitiva o dar por cerrada una conciliación real. La evidencia unilateral es de carácter preliminar.</t>
        </is>
      </c>
    </row>
    <row r="11" ht="28" customHeight="1">
      <c r="A11" s="3" t="inlineStr">
        <is>
          <t>missing_evidence</t>
        </is>
      </c>
      <c r="B11" s="5" t="inlineStr">
        <is>
          <t>Extractos bancarios oficiales digitalizados de fuentes independientes, liquidaciones de tarjetas POS (Mercado Pago, Fiserv) y arqueos físicos presenciales de caja.</t>
        </is>
      </c>
    </row>
    <row r="12" ht="28" customHeight="1">
      <c r="A12" s="3" t="inlineStr">
        <is>
          <t>healthy_block</t>
        </is>
      </c>
      <c r="B12" s="5" t="inlineStr">
        <is>
          <t>Subconjunto de transacciones perfectamente coincidentes en fecha, importe y descripción, junto con descalces menores correspondientes a comisiones de pasarela bancaria.</t>
        </is>
      </c>
    </row>
    <row r="13" ht="28" customHeight="1">
      <c r="A13" s="3" t="inlineStr">
        <is>
          <t>next_step</t>
        </is>
      </c>
      <c r="B13" s="5" t="inlineStr">
        <is>
          <t>Solicitar formalmente la segunda fuente documental cruzada independiente para los registros que poseen conciliación unilateral o parcial, y rectificar importes ambiguos.</t>
        </is>
      </c>
    </row>
    <row r="14"/>
    <row r="15" ht="25" customHeight="1">
      <c r="A15" s="8" t="inlineStr">
        <is>
          <t>Métrica / Señal First Aid Evaluada</t>
        </is>
      </c>
      <c r="B15" s="8" t="inlineStr">
        <is>
          <t>Conteo Automático (Fórmula Excel)</t>
        </is>
      </c>
    </row>
    <row r="16" ht="20" customHeight="1">
      <c r="A16" s="31" t="inlineStr">
        <is>
          <t>Total movimientos</t>
        </is>
      </c>
      <c r="B16" s="32">
        <f>COUNTA(Caja_Banco!$A$2:$A$21)</f>
        <v/>
      </c>
    </row>
    <row r="17" ht="20" customHeight="1">
      <c r="A17" s="4" t="inlineStr">
        <is>
          <t>OK coincidente</t>
        </is>
      </c>
      <c r="B17" s="33">
        <f>COUNTIF(Caja_Banco!$N$2:$N$21, "OK_COINCIDENTE")</f>
        <v/>
      </c>
    </row>
    <row r="18" ht="20" customHeight="1">
      <c r="A18" s="4" t="inlineStr">
        <is>
          <t>Diferencia menor comisión</t>
        </is>
      </c>
      <c r="B18" s="33">
        <f>COUNTIF(Caja_Banco!$N$2:$N$21, "DIFERENCIA_MENOR_COMISION")</f>
        <v/>
      </c>
    </row>
    <row r="19" ht="20" customHeight="1">
      <c r="A19" s="4" t="inlineStr">
        <is>
          <t>Banco sin contraparte</t>
        </is>
      </c>
      <c r="B19" s="33">
        <f>COUNTIF(Caja_Banco!$N$2:$N$21, "BANCO_SIN_CONTRAPARTE")</f>
        <v/>
      </c>
    </row>
    <row r="20" ht="20" customHeight="1">
      <c r="A20" s="4" t="inlineStr">
        <is>
          <t>Caja sin banco</t>
        </is>
      </c>
      <c r="B20" s="33">
        <f>COUNTIF(Caja_Banco!$N$2:$N$21, "CAJA_SIN_BANCO")</f>
        <v/>
      </c>
    </row>
    <row r="21" ht="20" customHeight="1">
      <c r="A21" s="4" t="inlineStr">
        <is>
          <t>Importe faltante</t>
        </is>
      </c>
      <c r="B21" s="33">
        <f>COUNTIF(Caja_Banco!$N$2:$N$21, "IMPORTE_FALTANTE")</f>
        <v/>
      </c>
    </row>
    <row r="22" ht="20" customHeight="1">
      <c r="A22" s="4" t="inlineStr">
        <is>
          <t>Importe ambiguo no comparable</t>
        </is>
      </c>
      <c r="B22" s="33">
        <f>COUNTIF(Caja_Banco!$N$2:$N$21, "IMPORTE_AMBIGUO_NO_COMPARABLE")</f>
        <v/>
      </c>
    </row>
    <row r="23" ht="20" customHeight="1">
      <c r="A23" s="4" t="inlineStr">
        <is>
          <t>Importe cero a confirmar</t>
        </is>
      </c>
      <c r="B23" s="33">
        <f>COUNTIF(Caja_Banco!$N$2:$N$21, "IMPORTE_CERO_A_CONFIRMAR")</f>
        <v/>
      </c>
    </row>
    <row r="24" ht="20" customHeight="1">
      <c r="A24" s="4" t="inlineStr">
        <is>
          <t>Posible duplicado</t>
        </is>
      </c>
      <c r="B24" s="33">
        <f>COUNTIF(Caja_Banco!$N$2:$N$21, "POSIBLE_DUPLICADO")</f>
        <v/>
      </c>
    </row>
    <row r="25" ht="20" customHeight="1">
      <c r="A25" s="4" t="inlineStr">
        <is>
          <t>Fecha fuera de período</t>
        </is>
      </c>
      <c r="B25" s="33">
        <f>COUNTIF(Caja_Banco!$N$2:$N$21, "FECHA_FUERA_DE_PERIODO")</f>
        <v/>
      </c>
    </row>
    <row r="26" ht="20" customHeight="1">
      <c r="A26" s="4" t="inlineStr">
        <is>
          <t>Retiro declarado</t>
        </is>
      </c>
      <c r="B26" s="33">
        <f>COUNTIF(Caja_Banco!$N$2:$N$21, "RETIRO_DECLARADO")</f>
        <v/>
      </c>
    </row>
    <row r="27" ht="20" customHeight="1">
      <c r="A27" s="4" t="inlineStr">
        <is>
          <t>No conciliable con una fuente</t>
        </is>
      </c>
      <c r="B27" s="33">
        <f>COUNTIF(Caja_Banco!$N$2:$N$21, "NO_CONCILIABLE_CON_UNA_FUENTE")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2026-06-20T20:42:56Z</dcterms:created>
  <dcterms:modified xmlns:dcterms="http://purl.org/dc/terms/" xmlns:xsi="http://www.w3.org/2001/XMLSchema-instance" xsi:type="dcterms:W3CDTF">2026-06-20T20:42:56Z</dcterms:modified>
</cp:coreProperties>
</file>