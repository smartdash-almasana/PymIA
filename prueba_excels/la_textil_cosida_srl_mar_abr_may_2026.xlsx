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ompra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costos_fijos" sheetId="5" state="visible" r:id="rId5"/>
    <sheet xmlns:r="http://schemas.openxmlformats.org/officeDocument/2006/relationships" name="caja_banco" sheetId="6" state="visible" r:id="rId6"/>
    <sheet xmlns:r="http://schemas.openxmlformats.org/officeDocument/2006/relationships" name="resumen_mensual" sheetId="7" state="visible" r:id="rId7"/>
    <sheet xmlns:r="http://schemas.openxmlformats.org/officeDocument/2006/relationships" name="señales_operativas" sheetId="8" state="visible" r:id="rId8"/>
  </sheets>
  <definedNames>
    <definedName name="_xlnm._FilterDatabase" localSheetId="0" hidden="1">'productos'!$A$1:$L$23</definedName>
    <definedName name="_xlnm._FilterDatabase" localSheetId="1" hidden="1">'ventas'!$A$1:$L$123</definedName>
    <definedName name="_xlnm._FilterDatabase" localSheetId="2" hidden="1">'compras'!$A$1:$J$43</definedName>
    <definedName name="_xlnm._FilterDatabase" localSheetId="3" hidden="1">'stock'!$A$1:$O$23</definedName>
    <definedName name="_xlnm._FilterDatabase" localSheetId="4" hidden="1">'costos_fijos'!$A$1:$F$31</definedName>
    <definedName name="_xlnm._FilterDatabase" localSheetId="5" hidden="1">'caja_banco'!$A$1:$H$180</definedName>
    <definedName name="_xlnm._FilterDatabase" localSheetId="7" hidden="1">'señales_operativas'!$A$1:$G$11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color rgb="00006100"/>
    </font>
    <font>
      <b val="1"/>
      <color rgb="009C65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4" borderId="1" pivotButton="0" quotePrefix="0" xfId="0"/>
    <xf numFmtId="164" fontId="2" fillId="0" borderId="1" pivotButton="0" quotePrefix="0" xfId="0"/>
    <xf numFmtId="0" fontId="5" fillId="5" borderId="1" pivotButton="0" quotePrefix="0" xfId="0"/>
    <xf numFmtId="165" fontId="2" fillId="0" borderId="1" pivotButton="0" quotePrefix="0" xfId="0"/>
    <xf numFmtId="0" fontId="2" fillId="6" borderId="1" pivotButton="0" quotePrefix="0" xfId="0"/>
    <xf numFmtId="164" fontId="2" fillId="6" borderId="1" applyAlignment="1" pivotButton="0" quotePrefix="0" xfId="0">
      <alignment horizontal="right"/>
    </xf>
    <xf numFmtId="164" fontId="2" fillId="6" borderId="1" pivotButton="0" quotePrefix="0" xfId="0"/>
    <xf numFmtId="165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12" customWidth="1" min="4" max="4"/>
    <col width="19" customWidth="1" min="5" max="5"/>
    <col width="24" customWidth="1" min="6" max="6"/>
    <col width="25" customWidth="1" min="7" max="7"/>
    <col width="20" customWidth="1" min="8" max="8"/>
    <col width="20" customWidth="1" min="9" max="9"/>
    <col width="23" customWidth="1" min="10" max="10"/>
    <col width="16" customWidth="1" min="11" max="11"/>
    <col width="12" customWidth="1" min="12" max="12"/>
  </cols>
  <sheetData>
    <row r="1" ht="26" customHeight="1">
      <c r="A1" s="1" t="inlineStr">
        <is>
          <t>sku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talle</t>
        </is>
      </c>
      <c r="E1" s="1" t="inlineStr">
        <is>
          <t>color</t>
        </is>
      </c>
      <c r="F1" s="1" t="inlineStr">
        <is>
          <t>proveedor_principal</t>
        </is>
      </c>
      <c r="G1" s="1" t="inlineStr">
        <is>
          <t>costo_unitario_actual</t>
        </is>
      </c>
      <c r="H1" s="1" t="inlineStr">
        <is>
          <t>precio_minorista</t>
        </is>
      </c>
      <c r="I1" s="1" t="inlineStr">
        <is>
          <t>precio_mayorista</t>
        </is>
      </c>
      <c r="J1" s="1" t="inlineStr">
        <is>
          <t>margen_objetivo_pct</t>
        </is>
      </c>
      <c r="K1" s="1" t="inlineStr">
        <is>
          <t>stock_minimo</t>
        </is>
      </c>
      <c r="L1" s="1" t="inlineStr">
        <is>
          <t>activo</t>
        </is>
      </c>
    </row>
    <row r="2">
      <c r="A2" s="2" t="inlineStr">
        <is>
          <t>REM-001</t>
        </is>
      </c>
      <c r="B2" s="2" t="inlineStr">
        <is>
          <t>Remera Algodón Básica</t>
        </is>
      </c>
      <c r="C2" s="2" t="inlineStr">
        <is>
          <t>remeras</t>
        </is>
      </c>
      <c r="D2" s="2" t="inlineStr">
        <is>
          <t>M</t>
        </is>
      </c>
      <c r="E2" s="2" t="inlineStr">
        <is>
          <t>Negro</t>
        </is>
      </c>
      <c r="F2" s="2" t="inlineStr">
        <is>
          <t>Textil Avellaneda</t>
        </is>
      </c>
      <c r="G2" s="3" t="n">
        <v>4500</v>
      </c>
      <c r="H2" s="3" t="n">
        <v>12500</v>
      </c>
      <c r="I2" s="3" t="n">
        <v>8200</v>
      </c>
      <c r="J2" s="4" t="n">
        <v>0.6</v>
      </c>
      <c r="K2" s="5" t="n">
        <v>60</v>
      </c>
      <c r="L2" s="2" t="inlineStr">
        <is>
          <t>SI</t>
        </is>
      </c>
    </row>
    <row r="3">
      <c r="A3" s="2" t="inlineStr">
        <is>
          <t>REM-002</t>
        </is>
      </c>
      <c r="B3" s="2" t="inlineStr">
        <is>
          <t>Remera Algodón Básica</t>
        </is>
      </c>
      <c r="C3" s="2" t="inlineStr">
        <is>
          <t>remeras</t>
        </is>
      </c>
      <c r="D3" s="2" t="inlineStr">
        <is>
          <t>L</t>
        </is>
      </c>
      <c r="E3" s="2" t="inlineStr">
        <is>
          <t>Blanco</t>
        </is>
      </c>
      <c r="F3" s="2" t="inlineStr">
        <is>
          <t>Textil Avellaneda</t>
        </is>
      </c>
      <c r="G3" s="3" t="n">
        <v>4500</v>
      </c>
      <c r="H3" s="3" t="n">
        <v>12500</v>
      </c>
      <c r="I3" s="3" t="n">
        <v>8200</v>
      </c>
      <c r="J3" s="4" t="n">
        <v>0.6</v>
      </c>
      <c r="K3" s="5" t="n">
        <v>60</v>
      </c>
      <c r="L3" s="2" t="inlineStr">
        <is>
          <t>SI</t>
        </is>
      </c>
    </row>
    <row r="4">
      <c r="A4" s="2" t="inlineStr">
        <is>
          <t>REM-003</t>
        </is>
      </c>
      <c r="B4" s="2" t="inlineStr">
        <is>
          <t>Remera Estampada Urban</t>
        </is>
      </c>
      <c r="C4" s="2" t="inlineStr">
        <is>
          <t>remeras</t>
        </is>
      </c>
      <c r="D4" s="2" t="inlineStr">
        <is>
          <t>S</t>
        </is>
      </c>
      <c r="E4" s="2" t="inlineStr">
        <is>
          <t>Gris Melange</t>
        </is>
      </c>
      <c r="F4" s="2" t="inlineStr">
        <is>
          <t>Estampados JC</t>
        </is>
      </c>
      <c r="G4" s="3" t="n">
        <v>5500</v>
      </c>
      <c r="H4" s="3" t="n">
        <v>15500</v>
      </c>
      <c r="I4" s="3" t="n">
        <v>9900</v>
      </c>
      <c r="J4" s="4" t="n">
        <v>0.6</v>
      </c>
      <c r="K4" s="5" t="n">
        <v>40</v>
      </c>
      <c r="L4" s="2" t="inlineStr">
        <is>
          <t>SI</t>
        </is>
      </c>
    </row>
    <row r="5">
      <c r="A5" s="2" t="inlineStr">
        <is>
          <t>REM-004</t>
        </is>
      </c>
      <c r="B5" s="2" t="inlineStr">
        <is>
          <t>Remera Oversize Vint</t>
        </is>
      </c>
      <c r="C5" s="2" t="inlineStr">
        <is>
          <t>remeras</t>
        </is>
      </c>
      <c r="D5" s="2" t="inlineStr">
        <is>
          <t>XL</t>
        </is>
      </c>
      <c r="E5" s="2" t="inlineStr">
        <is>
          <t>Azul Aero</t>
        </is>
      </c>
      <c r="F5" s="2" t="inlineStr">
        <is>
          <t>Estampados JC</t>
        </is>
      </c>
      <c r="G5" s="3" t="n">
        <v>6200</v>
      </c>
      <c r="H5" s="3" t="n">
        <v>17800</v>
      </c>
      <c r="I5" s="3" t="n">
        <v>11500</v>
      </c>
      <c r="J5" s="4" t="n">
        <v>0.6</v>
      </c>
      <c r="K5" s="5" t="n">
        <v>30</v>
      </c>
      <c r="L5" s="2" t="inlineStr">
        <is>
          <t>SI</t>
        </is>
      </c>
    </row>
    <row r="6">
      <c r="A6" s="2" t="inlineStr">
        <is>
          <t>BUZ-001</t>
        </is>
      </c>
      <c r="B6" s="2" t="inlineStr">
        <is>
          <t>Buzo Canguro con Frisa</t>
        </is>
      </c>
      <c r="C6" s="2" t="inlineStr">
        <is>
          <t>buzos</t>
        </is>
      </c>
      <c r="D6" s="2" t="inlineStr">
        <is>
          <t>M</t>
        </is>
      </c>
      <c r="E6" s="2" t="inlineStr">
        <is>
          <t>Gris Topo</t>
        </is>
      </c>
      <c r="F6" s="2" t="inlineStr">
        <is>
          <t>Confecciones Delta</t>
        </is>
      </c>
      <c r="G6" s="3" t="n">
        <v>13000</v>
      </c>
      <c r="H6" s="3" t="n">
        <v>34000</v>
      </c>
      <c r="I6" s="3" t="n">
        <v>22000</v>
      </c>
      <c r="J6" s="4" t="n">
        <v>0.55</v>
      </c>
      <c r="K6" s="5" t="n">
        <v>40</v>
      </c>
      <c r="L6" s="2" t="inlineStr">
        <is>
          <t>SI</t>
        </is>
      </c>
    </row>
    <row r="7">
      <c r="A7" s="2" t="inlineStr">
        <is>
          <t>BUZ-002</t>
        </is>
      </c>
      <c r="B7" s="2" t="inlineStr">
        <is>
          <t>Buzo Canguro con Frisa</t>
        </is>
      </c>
      <c r="C7" s="2" t="inlineStr">
        <is>
          <t>buzos</t>
        </is>
      </c>
      <c r="D7" s="2" t="inlineStr">
        <is>
          <t>L</t>
        </is>
      </c>
      <c r="E7" s="2" t="inlineStr">
        <is>
          <t>Negro</t>
        </is>
      </c>
      <c r="F7" s="2" t="inlineStr">
        <is>
          <t>Confecciones Delta</t>
        </is>
      </c>
      <c r="G7" s="3" t="n">
        <v>13000</v>
      </c>
      <c r="H7" s="3" t="n">
        <v>34000</v>
      </c>
      <c r="I7" s="3" t="n">
        <v>22000</v>
      </c>
      <c r="J7" s="4" t="n">
        <v>0.55</v>
      </c>
      <c r="K7" s="5" t="n">
        <v>40</v>
      </c>
      <c r="L7" s="2" t="inlineStr">
        <is>
          <t>SI</t>
        </is>
      </c>
    </row>
    <row r="8">
      <c r="A8" s="2" t="inlineStr">
        <is>
          <t>BUZ-003</t>
        </is>
      </c>
      <c r="B8" s="2" t="inlineStr">
        <is>
          <t>Buzo Cuello Redondo Premium</t>
        </is>
      </c>
      <c r="C8" s="2" t="inlineStr">
        <is>
          <t>buzos</t>
        </is>
      </c>
      <c r="D8" s="2" t="inlineStr">
        <is>
          <t>M</t>
        </is>
      </c>
      <c r="E8" s="2" t="inlineStr">
        <is>
          <t>Verde Militar</t>
        </is>
      </c>
      <c r="F8" s="2" t="inlineStr">
        <is>
          <t>Sudaderas Arg</t>
        </is>
      </c>
      <c r="G8" s="3" t="n">
        <v>14500</v>
      </c>
      <c r="H8" s="3" t="n">
        <v>38500</v>
      </c>
      <c r="I8" s="3" t="n">
        <v>25000</v>
      </c>
      <c r="J8" s="4" t="n">
        <v>0.55</v>
      </c>
      <c r="K8" s="5" t="n">
        <v>25</v>
      </c>
      <c r="L8" s="2" t="inlineStr">
        <is>
          <t>SI</t>
        </is>
      </c>
    </row>
    <row r="9">
      <c r="A9" s="2" t="inlineStr">
        <is>
          <t>CAM-001</t>
        </is>
      </c>
      <c r="B9" s="2" t="inlineStr">
        <is>
          <t>Campera Trucker Impermeable</t>
        </is>
      </c>
      <c r="C9" s="2" t="inlineStr">
        <is>
          <t>camperas</t>
        </is>
      </c>
      <c r="D9" s="2" t="inlineStr">
        <is>
          <t>L</t>
        </is>
      </c>
      <c r="E9" s="2" t="inlineStr">
        <is>
          <t>Negro</t>
        </is>
      </c>
      <c r="F9" s="2" t="inlineStr">
        <is>
          <t>Abrigos Polar Sur</t>
        </is>
      </c>
      <c r="G9" s="3" t="n">
        <v>26000</v>
      </c>
      <c r="H9" s="3" t="n">
        <v>69000</v>
      </c>
      <c r="I9" s="3" t="n">
        <v>44000</v>
      </c>
      <c r="J9" s="4" t="n">
        <v>0.55</v>
      </c>
      <c r="K9" s="5" t="n">
        <v>20</v>
      </c>
      <c r="L9" s="2" t="inlineStr">
        <is>
          <t>SI</t>
        </is>
      </c>
    </row>
    <row r="10">
      <c r="A10" s="2" t="inlineStr">
        <is>
          <t>CAM-002</t>
        </is>
      </c>
      <c r="B10" s="2" t="inlineStr">
        <is>
          <t>Campera de Abrigo Invierno</t>
        </is>
      </c>
      <c r="C10" s="2" t="inlineStr">
        <is>
          <t>camperas</t>
        </is>
      </c>
      <c r="D10" s="2" t="inlineStr">
        <is>
          <t>XL</t>
        </is>
      </c>
      <c r="E10" s="2" t="inlineStr">
        <is>
          <t>Azul Marino</t>
        </is>
      </c>
      <c r="F10" s="2" t="inlineStr">
        <is>
          <t>Abrigos Polar Sur</t>
        </is>
      </c>
      <c r="G10" s="3" t="n">
        <v>34000</v>
      </c>
      <c r="H10" s="3" t="n">
        <v>88000</v>
      </c>
      <c r="I10" s="3" t="n">
        <v>54000</v>
      </c>
      <c r="J10" s="4" t="n">
        <v>0.55</v>
      </c>
      <c r="K10" s="5" t="n">
        <v>15</v>
      </c>
      <c r="L10" s="2" t="inlineStr">
        <is>
          <t>SI</t>
        </is>
      </c>
    </row>
    <row r="11">
      <c r="A11" s="2" t="inlineStr">
        <is>
          <t>CAM-003</t>
        </is>
      </c>
      <c r="B11" s="2" t="inlineStr">
        <is>
          <t>Campera Rompevientos Light</t>
        </is>
      </c>
      <c r="C11" s="2" t="inlineStr">
        <is>
          <t>camperas</t>
        </is>
      </c>
      <c r="D11" s="2" t="inlineStr">
        <is>
          <t>S</t>
        </is>
      </c>
      <c r="E11" s="2" t="inlineStr">
        <is>
          <t>Rojo</t>
        </is>
      </c>
      <c r="F11" s="2" t="inlineStr">
        <is>
          <t>Textil Avellaneda</t>
        </is>
      </c>
      <c r="G11" s="3" t="n">
        <v>16000</v>
      </c>
      <c r="H11" s="3" t="n">
        <v>42000</v>
      </c>
      <c r="I11" s="3" t="n">
        <v>27000</v>
      </c>
      <c r="J11" s="4" t="n">
        <v>0.55</v>
      </c>
      <c r="K11" s="5" t="n">
        <v>15</v>
      </c>
      <c r="L11" s="2" t="inlineStr">
        <is>
          <t>SI</t>
        </is>
      </c>
    </row>
    <row r="12">
      <c r="A12" s="2" t="inlineStr">
        <is>
          <t>PAN-001</t>
        </is>
      </c>
      <c r="B12" s="2" t="inlineStr">
        <is>
          <t>Pantalón Jean Chupín</t>
        </is>
      </c>
      <c r="C12" s="2" t="inlineStr">
        <is>
          <t>pantalones</t>
        </is>
      </c>
      <c r="D12" s="2" t="inlineStr">
        <is>
          <t>42</t>
        </is>
      </c>
      <c r="E12" s="2" t="inlineStr">
        <is>
          <t>Azul Localizado</t>
        </is>
      </c>
      <c r="F12" s="2" t="inlineStr">
        <is>
          <t>Jeans del Oeste</t>
        </is>
      </c>
      <c r="G12" s="3" t="n">
        <v>16500</v>
      </c>
      <c r="H12" s="3" t="n">
        <v>44000</v>
      </c>
      <c r="I12" s="3" t="n">
        <v>28000</v>
      </c>
      <c r="J12" s="4" t="n">
        <v>0.55</v>
      </c>
      <c r="K12" s="5" t="n">
        <v>35</v>
      </c>
      <c r="L12" s="2" t="inlineStr">
        <is>
          <t>SI</t>
        </is>
      </c>
    </row>
    <row r="13">
      <c r="A13" s="2" t="inlineStr">
        <is>
          <t>PAN-002</t>
        </is>
      </c>
      <c r="B13" s="2" t="inlineStr">
        <is>
          <t>Pantalón Jean Recto</t>
        </is>
      </c>
      <c r="C13" s="2" t="inlineStr">
        <is>
          <t>pantalones</t>
        </is>
      </c>
      <c r="D13" s="2" t="inlineStr">
        <is>
          <t>44</t>
        </is>
      </c>
      <c r="E13" s="2" t="inlineStr">
        <is>
          <t>Negro Gastado</t>
        </is>
      </c>
      <c r="F13" s="2" t="inlineStr">
        <is>
          <t>Jeans del Oeste</t>
        </is>
      </c>
      <c r="G13" s="3" t="n">
        <v>16500</v>
      </c>
      <c r="H13" s="3" t="n">
        <v>44000</v>
      </c>
      <c r="I13" s="3" t="n">
        <v>28000</v>
      </c>
      <c r="J13" s="4" t="n">
        <v>0.55</v>
      </c>
      <c r="K13" s="5" t="n">
        <v>30</v>
      </c>
      <c r="L13" s="2" t="inlineStr">
        <is>
          <t>SI</t>
        </is>
      </c>
    </row>
    <row r="14">
      <c r="A14" s="2" t="inlineStr">
        <is>
          <t>PAN-003</t>
        </is>
      </c>
      <c r="B14" s="2" t="inlineStr">
        <is>
          <t>Pantalón Cargo Gabardina</t>
        </is>
      </c>
      <c r="C14" s="2" t="inlineStr">
        <is>
          <t>pantalones</t>
        </is>
      </c>
      <c r="D14" s="2" t="inlineStr">
        <is>
          <t>M</t>
        </is>
      </c>
      <c r="E14" s="2" t="inlineStr">
        <is>
          <t>Beige</t>
        </is>
      </c>
      <c r="F14" s="2" t="inlineStr">
        <is>
          <t>Confecciones Delta</t>
        </is>
      </c>
      <c r="G14" s="3" t="n">
        <v>15000</v>
      </c>
      <c r="H14" s="3" t="n">
        <v>41000</v>
      </c>
      <c r="I14" s="3" t="n">
        <v>26000</v>
      </c>
      <c r="J14" s="4" t="n">
        <v>0.55</v>
      </c>
      <c r="K14" s="5" t="n">
        <v>30</v>
      </c>
      <c r="L14" s="2" t="inlineStr">
        <is>
          <t>SI</t>
        </is>
      </c>
    </row>
    <row r="15">
      <c r="A15" s="2" t="inlineStr">
        <is>
          <t>CAL-001</t>
        </is>
      </c>
      <c r="B15" s="2" t="inlineStr">
        <is>
          <t>Calza Deportiva Alta Cintura</t>
        </is>
      </c>
      <c r="C15" s="2" t="inlineStr">
        <is>
          <t>calzas</t>
        </is>
      </c>
      <c r="D15" s="2" t="inlineStr">
        <is>
          <t>M</t>
        </is>
      </c>
      <c r="E15" s="2" t="inlineStr">
        <is>
          <t>Negro</t>
        </is>
      </c>
      <c r="F15" s="2" t="inlineStr">
        <is>
          <t>Lycra Activa</t>
        </is>
      </c>
      <c r="G15" s="3" t="n">
        <v>8500</v>
      </c>
      <c r="H15" s="3" t="n">
        <v>23000</v>
      </c>
      <c r="I15" s="3" t="n">
        <v>14500</v>
      </c>
      <c r="J15" s="4" t="n">
        <v>0.55</v>
      </c>
      <c r="K15" s="5" t="n">
        <v>40</v>
      </c>
      <c r="L15" s="2" t="inlineStr">
        <is>
          <t>SI</t>
        </is>
      </c>
    </row>
    <row r="16">
      <c r="A16" s="2" t="inlineStr">
        <is>
          <t>CAL-002</t>
        </is>
      </c>
      <c r="B16" s="2" t="inlineStr">
        <is>
          <t>Calza Short Deportiva</t>
        </is>
      </c>
      <c r="C16" s="2" t="inlineStr">
        <is>
          <t>calzas</t>
        </is>
      </c>
      <c r="D16" s="2" t="inlineStr">
        <is>
          <t>S</t>
        </is>
      </c>
      <c r="E16" s="2" t="inlineStr">
        <is>
          <t>Gris</t>
        </is>
      </c>
      <c r="F16" s="2" t="inlineStr">
        <is>
          <t>Lycra Activa</t>
        </is>
      </c>
      <c r="G16" s="3" t="n">
        <v>6800</v>
      </c>
      <c r="H16" s="3" t="n">
        <v>18500</v>
      </c>
      <c r="I16" s="3" t="n">
        <v>11500</v>
      </c>
      <c r="J16" s="4" t="n">
        <v>0.55</v>
      </c>
      <c r="K16" s="5" t="n">
        <v>20</v>
      </c>
      <c r="L16" s="2" t="inlineStr">
        <is>
          <t>SI</t>
        </is>
      </c>
    </row>
    <row r="17">
      <c r="A17" s="2" t="inlineStr">
        <is>
          <t>TOP-001</t>
        </is>
      </c>
      <c r="B17" s="2" t="inlineStr">
        <is>
          <t>Top Deportivo Suplex</t>
        </is>
      </c>
      <c r="C17" s="2" t="inlineStr">
        <is>
          <t>tops</t>
        </is>
      </c>
      <c r="D17" s="2" t="inlineStr">
        <is>
          <t>M</t>
        </is>
      </c>
      <c r="E17" s="2" t="inlineStr">
        <is>
          <t>Negro</t>
        </is>
      </c>
      <c r="F17" s="2" t="inlineStr">
        <is>
          <t>Lycra Activa</t>
        </is>
      </c>
      <c r="G17" s="3" t="n">
        <v>5500</v>
      </c>
      <c r="H17" s="3" t="n">
        <v>14900</v>
      </c>
      <c r="I17" s="3" t="n">
        <v>9500</v>
      </c>
      <c r="J17" s="4" t="n">
        <v>0.55</v>
      </c>
      <c r="K17" s="5" t="n">
        <v>30</v>
      </c>
      <c r="L17" s="2" t="inlineStr">
        <is>
          <t>SI</t>
        </is>
      </c>
    </row>
    <row r="18">
      <c r="A18" s="2" t="inlineStr">
        <is>
          <t>TOP-002</t>
        </is>
      </c>
      <c r="B18" s="2" t="inlineStr">
        <is>
          <t>Top Fitness Seamless</t>
        </is>
      </c>
      <c r="C18" s="2" t="inlineStr">
        <is>
          <t>tops</t>
        </is>
      </c>
      <c r="D18" s="2" t="inlineStr">
        <is>
          <t>L</t>
        </is>
      </c>
      <c r="E18" s="2" t="inlineStr">
        <is>
          <t>Bordó</t>
        </is>
      </c>
      <c r="F18" s="2" t="inlineStr">
        <is>
          <t>Lycra Activa</t>
        </is>
      </c>
      <c r="G18" s="3" t="n">
        <v>6200</v>
      </c>
      <c r="H18" s="3" t="n">
        <v>16500</v>
      </c>
      <c r="I18" s="3" t="n">
        <v>10500</v>
      </c>
      <c r="J18" s="4" t="n">
        <v>0.55</v>
      </c>
      <c r="K18" s="5" t="n">
        <v>25</v>
      </c>
      <c r="L18" s="2" t="inlineStr">
        <is>
          <t>SI</t>
        </is>
      </c>
    </row>
    <row r="19">
      <c r="A19" s="2" t="inlineStr">
        <is>
          <t>MED-001</t>
        </is>
      </c>
      <c r="B19" s="2" t="inlineStr">
        <is>
          <t>Medias Element Pack x3</t>
        </is>
      </c>
      <c r="C19" s="2" t="inlineStr">
        <is>
          <t>medias</t>
        </is>
      </c>
      <c r="D19" s="2" t="inlineStr">
        <is>
          <t>Único</t>
        </is>
      </c>
      <c r="E19" s="2" t="inlineStr">
        <is>
          <t>Surtido</t>
        </is>
      </c>
      <c r="F19" s="2" t="inlineStr">
        <is>
          <t>Medias Ciudad</t>
        </is>
      </c>
      <c r="G19" s="3" t="n">
        <v>1900</v>
      </c>
      <c r="H19" s="3" t="n">
        <v>5400</v>
      </c>
      <c r="I19" s="3" t="n">
        <v>3400</v>
      </c>
      <c r="J19" s="4" t="n">
        <v>0.6</v>
      </c>
      <c r="K19" s="5" t="n">
        <v>70</v>
      </c>
      <c r="L19" s="2" t="inlineStr">
        <is>
          <t>SI</t>
        </is>
      </c>
    </row>
    <row r="20">
      <c r="A20" s="2" t="inlineStr">
        <is>
          <t>MED-002</t>
        </is>
      </c>
      <c r="B20" s="2" t="inlineStr">
        <is>
          <t>Soberanas Invisibles Pack x3</t>
        </is>
      </c>
      <c r="C20" s="2" t="inlineStr">
        <is>
          <t>medias</t>
        </is>
      </c>
      <c r="D20" s="2" t="inlineStr">
        <is>
          <t>Único</t>
        </is>
      </c>
      <c r="E20" s="2" t="inlineStr">
        <is>
          <t>Blanco</t>
        </is>
      </c>
      <c r="F20" s="2" t="inlineStr">
        <is>
          <t>Medias Ciudad</t>
        </is>
      </c>
      <c r="G20" s="3" t="n">
        <v>1600</v>
      </c>
      <c r="H20" s="3" t="n">
        <v>4600</v>
      </c>
      <c r="I20" s="3" t="n">
        <v>2900</v>
      </c>
      <c r="J20" s="4" t="n">
        <v>0.6</v>
      </c>
      <c r="K20" s="5" t="n">
        <v>50</v>
      </c>
      <c r="L20" s="2" t="inlineStr">
        <is>
          <t>SI</t>
        </is>
      </c>
    </row>
    <row r="21">
      <c r="A21" s="2" t="inlineStr">
        <is>
          <t>ACC-001</t>
        </is>
      </c>
      <c r="B21" s="2" t="inlineStr">
        <is>
          <t>Gorra Trucker Urbana</t>
        </is>
      </c>
      <c r="C21" s="2" t="inlineStr">
        <is>
          <t>accesorios</t>
        </is>
      </c>
      <c r="D21" s="2" t="inlineStr">
        <is>
          <t>Único</t>
        </is>
      </c>
      <c r="E21" s="2" t="inlineStr">
        <is>
          <t>Negro/Blanco</t>
        </is>
      </c>
      <c r="F21" s="2" t="inlineStr">
        <is>
          <t>Importaciones Baires</t>
        </is>
      </c>
      <c r="G21" s="3" t="n">
        <v>3800</v>
      </c>
      <c r="H21" s="3" t="n">
        <v>11000</v>
      </c>
      <c r="I21" s="3" t="n">
        <v>6900</v>
      </c>
      <c r="J21" s="4" t="n">
        <v>0.6</v>
      </c>
      <c r="K21" s="5" t="n">
        <v>25</v>
      </c>
      <c r="L21" s="2" t="inlineStr">
        <is>
          <t>SI</t>
        </is>
      </c>
    </row>
    <row r="22">
      <c r="A22" s="2" t="inlineStr">
        <is>
          <t>ACC-002</t>
        </is>
      </c>
      <c r="B22" s="2" t="inlineStr">
        <is>
          <t>Cinturón de Lona Reforzado</t>
        </is>
      </c>
      <c r="C22" s="2" t="inlineStr">
        <is>
          <t>accesorios</t>
        </is>
      </c>
      <c r="D22" s="2" t="inlineStr">
        <is>
          <t>Único</t>
        </is>
      </c>
      <c r="E22" s="2" t="inlineStr">
        <is>
          <t>Verde Oliva</t>
        </is>
      </c>
      <c r="F22" s="2" t="inlineStr">
        <is>
          <t>Confecciones Delta</t>
        </is>
      </c>
      <c r="G22" s="3" t="n">
        <v>3200</v>
      </c>
      <c r="H22" s="3" t="n">
        <v>9500</v>
      </c>
      <c r="I22" s="3" t="n">
        <v>5900</v>
      </c>
      <c r="J22" s="4" t="n">
        <v>0.6</v>
      </c>
      <c r="K22" s="5" t="n">
        <v>20</v>
      </c>
      <c r="L22" s="2" t="inlineStr">
        <is>
          <t>SI</t>
        </is>
      </c>
    </row>
    <row r="23">
      <c r="A23" s="2" t="inlineStr">
        <is>
          <t>ACC-003</t>
        </is>
      </c>
      <c r="B23" s="2" t="inlineStr">
        <is>
          <t>Mochila Urbana Porta Notebook</t>
        </is>
      </c>
      <c r="C23" s="2" t="inlineStr">
        <is>
          <t>accesorios</t>
        </is>
      </c>
      <c r="D23" s="2" t="inlineStr">
        <is>
          <t>Único</t>
        </is>
      </c>
      <c r="E23" s="2" t="inlineStr">
        <is>
          <t>Gris Oscuro</t>
        </is>
      </c>
      <c r="F23" s="2" t="inlineStr">
        <is>
          <t>Importaciones Baires</t>
        </is>
      </c>
      <c r="G23" s="3" t="n">
        <v>19500</v>
      </c>
      <c r="H23" s="3" t="n">
        <v>52000</v>
      </c>
      <c r="I23" s="3" t="n">
        <v>33000</v>
      </c>
      <c r="J23" s="4" t="n">
        <v>0.55</v>
      </c>
      <c r="K23" s="5" t="n">
        <v>12</v>
      </c>
      <c r="L23" s="2" t="inlineStr">
        <is>
          <t>SI</t>
        </is>
      </c>
    </row>
  </sheetData>
  <autoFilter ref="A1: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7" customWidth="1" min="4" max="4"/>
    <col width="12" customWidth="1" min="5" max="5"/>
    <col width="33" customWidth="1" min="6" max="6"/>
    <col width="12" customWidth="1" min="7" max="7"/>
    <col width="27" customWidth="1" min="8" max="8"/>
    <col width="17" customWidth="1" min="9" max="9"/>
    <col width="20" customWidth="1" min="10" max="10"/>
    <col width="20" customWidth="1" min="11" max="11"/>
    <col width="17" customWidth="1" min="12" max="12"/>
  </cols>
  <sheetData>
    <row r="1" ht="26" customHeight="1">
      <c r="A1" s="1" t="inlineStr">
        <is>
          <t>fecha</t>
        </is>
      </c>
      <c r="B1" s="1" t="inlineStr">
        <is>
          <t>comprobante</t>
        </is>
      </c>
      <c r="C1" s="1" t="inlineStr">
        <is>
          <t>canal</t>
        </is>
      </c>
      <c r="D1" s="1" t="inlineStr">
        <is>
          <t>cliente</t>
        </is>
      </c>
      <c r="E1" s="1" t="inlineStr">
        <is>
          <t>sku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precio_unitario_vendido</t>
        </is>
      </c>
      <c r="I1" s="1" t="inlineStr">
        <is>
          <t>descuento_pct</t>
        </is>
      </c>
      <c r="J1" s="1" t="inlineStr">
        <is>
          <t>medio_cobro</t>
        </is>
      </c>
      <c r="K1" s="1" t="inlineStr">
        <is>
          <t>plazo_cobro_dias</t>
        </is>
      </c>
      <c r="L1" s="1" t="inlineStr">
        <is>
          <t>importe_total</t>
        </is>
      </c>
    </row>
    <row r="2">
      <c r="A2" s="6" t="inlineStr">
        <is>
          <t>2026-03-04</t>
        </is>
      </c>
      <c r="B2" s="2" t="inlineStr">
        <is>
          <t>FA-0002001</t>
        </is>
      </c>
      <c r="C2" s="2" t="inlineStr">
        <is>
          <t>minorista</t>
        </is>
      </c>
      <c r="D2" s="2" t="inlineStr">
        <is>
          <t>Consumidor Final</t>
        </is>
      </c>
      <c r="E2" s="2" t="inlineStr">
        <is>
          <t>REM-003</t>
        </is>
      </c>
      <c r="F2" s="2" t="inlineStr">
        <is>
          <t>Remera Estampada Urban</t>
        </is>
      </c>
      <c r="G2" s="5" t="n">
        <v>3</v>
      </c>
      <c r="H2" s="3" t="n">
        <v>15500</v>
      </c>
      <c r="I2" s="4" t="n">
        <v>0</v>
      </c>
      <c r="J2" s="2" t="inlineStr">
        <is>
          <t>transferencia</t>
        </is>
      </c>
      <c r="K2" s="5" t="n">
        <v>0</v>
      </c>
      <c r="L2" s="3" t="n">
        <v>46500</v>
      </c>
    </row>
    <row r="3">
      <c r="A3" s="6" t="inlineStr">
        <is>
          <t>2026-03-05</t>
        </is>
      </c>
      <c r="B3" s="2" t="inlineStr">
        <is>
          <t>FA-0002002</t>
        </is>
      </c>
      <c r="C3" s="2" t="inlineStr">
        <is>
          <t>minorista</t>
        </is>
      </c>
      <c r="D3" s="2" t="inlineStr">
        <is>
          <t>Consumidor Final</t>
        </is>
      </c>
      <c r="E3" s="2" t="inlineStr">
        <is>
          <t>MED-001</t>
        </is>
      </c>
      <c r="F3" s="2" t="inlineStr">
        <is>
          <t>Medias Element Pack x3</t>
        </is>
      </c>
      <c r="G3" s="5" t="n">
        <v>3</v>
      </c>
      <c r="H3" s="3" t="n">
        <v>5400</v>
      </c>
      <c r="I3" s="4" t="n">
        <v>0</v>
      </c>
      <c r="J3" s="2" t="inlineStr">
        <is>
          <t>efectivo</t>
        </is>
      </c>
      <c r="K3" s="5" t="n">
        <v>0</v>
      </c>
      <c r="L3" s="3" t="n">
        <v>16200</v>
      </c>
    </row>
    <row r="4">
      <c r="A4" s="6" t="inlineStr">
        <is>
          <t>2026-03-05</t>
        </is>
      </c>
      <c r="B4" s="2" t="inlineStr">
        <is>
          <t>FA-0002003</t>
        </is>
      </c>
      <c r="C4" s="2" t="inlineStr">
        <is>
          <t>showroom</t>
        </is>
      </c>
      <c r="D4" s="2" t="inlineStr">
        <is>
          <t>Consumidor Final</t>
        </is>
      </c>
      <c r="E4" s="2" t="inlineStr">
        <is>
          <t>CAL-001</t>
        </is>
      </c>
      <c r="F4" s="2" t="inlineStr">
        <is>
          <t>Calza Deportiva Alta Cintura</t>
        </is>
      </c>
      <c r="G4" s="5" t="n">
        <v>2</v>
      </c>
      <c r="H4" s="3" t="n">
        <v>23000</v>
      </c>
      <c r="I4" s="4" t="n">
        <v>0</v>
      </c>
      <c r="J4" s="2" t="inlineStr">
        <is>
          <t>mercado_pago</t>
        </is>
      </c>
      <c r="K4" s="5" t="n">
        <v>0</v>
      </c>
      <c r="L4" s="3" t="n">
        <v>46000</v>
      </c>
    </row>
    <row r="5">
      <c r="A5" s="6" t="inlineStr">
        <is>
          <t>2026-03-05</t>
        </is>
      </c>
      <c r="B5" s="2" t="inlineStr">
        <is>
          <t>FA-0002004</t>
        </is>
      </c>
      <c r="C5" s="2" t="inlineStr">
        <is>
          <t>mayorista</t>
        </is>
      </c>
      <c r="D5" s="2" t="inlineStr">
        <is>
          <t>Juan Perez</t>
        </is>
      </c>
      <c r="E5" s="2" t="inlineStr">
        <is>
          <t>REM-001</t>
        </is>
      </c>
      <c r="F5" s="2" t="inlineStr">
        <is>
          <t>Remera Algodón Básica</t>
        </is>
      </c>
      <c r="G5" s="5" t="n">
        <v>19</v>
      </c>
      <c r="H5" s="3" t="n">
        <v>8200</v>
      </c>
      <c r="I5" s="4" t="n">
        <v>0</v>
      </c>
      <c r="J5" s="2" t="inlineStr">
        <is>
          <t>cuenta_corriente</t>
        </is>
      </c>
      <c r="K5" s="5" t="n">
        <v>30</v>
      </c>
      <c r="L5" s="3" t="n">
        <v>155800</v>
      </c>
    </row>
    <row r="6">
      <c r="A6" s="6" t="inlineStr">
        <is>
          <t>2026-03-05</t>
        </is>
      </c>
      <c r="B6" s="2" t="inlineStr">
        <is>
          <t>FA-0002005</t>
        </is>
      </c>
      <c r="C6" s="2" t="inlineStr">
        <is>
          <t>minorista</t>
        </is>
      </c>
      <c r="D6" s="2" t="inlineStr">
        <is>
          <t>Consumidor Final</t>
        </is>
      </c>
      <c r="E6" s="2" t="inlineStr">
        <is>
          <t>ACC-001</t>
        </is>
      </c>
      <c r="F6" s="2" t="inlineStr">
        <is>
          <t>Gorra Trucker Urbana</t>
        </is>
      </c>
      <c r="G6" s="5" t="n">
        <v>3</v>
      </c>
      <c r="H6" s="3" t="n">
        <v>11000</v>
      </c>
      <c r="I6" s="4" t="n">
        <v>0.05</v>
      </c>
      <c r="J6" s="2" t="inlineStr">
        <is>
          <t>mercado_pago</t>
        </is>
      </c>
      <c r="K6" s="5" t="n">
        <v>0</v>
      </c>
      <c r="L6" s="3" t="n">
        <v>31350</v>
      </c>
    </row>
    <row r="7">
      <c r="A7" s="6" t="inlineStr">
        <is>
          <t>2026-03-07</t>
        </is>
      </c>
      <c r="B7" s="2" t="inlineStr">
        <is>
          <t>FA-0002006</t>
        </is>
      </c>
      <c r="C7" s="2" t="inlineStr">
        <is>
          <t>online</t>
        </is>
      </c>
      <c r="D7" s="2" t="inlineStr">
        <is>
          <t>Consumidor Final</t>
        </is>
      </c>
      <c r="E7" s="2" t="inlineStr">
        <is>
          <t>REM-003</t>
        </is>
      </c>
      <c r="F7" s="2" t="inlineStr">
        <is>
          <t>Remera Estampada Urban</t>
        </is>
      </c>
      <c r="G7" s="5" t="n">
        <v>4</v>
      </c>
      <c r="H7" s="3" t="n">
        <v>15500</v>
      </c>
      <c r="I7" s="4" t="n">
        <v>0</v>
      </c>
      <c r="J7" s="2" t="inlineStr">
        <is>
          <t>mercado_pago</t>
        </is>
      </c>
      <c r="K7" s="5" t="n">
        <v>0</v>
      </c>
      <c r="L7" s="3" t="n">
        <v>62000</v>
      </c>
    </row>
    <row r="8">
      <c r="A8" s="6" t="inlineStr">
        <is>
          <t>2026-03-07</t>
        </is>
      </c>
      <c r="B8" s="2" t="inlineStr">
        <is>
          <t>FA-0002007</t>
        </is>
      </c>
      <c r="C8" s="2" t="inlineStr">
        <is>
          <t>showroom</t>
        </is>
      </c>
      <c r="D8" s="2" t="inlineStr">
        <is>
          <t>Consumidor Final</t>
        </is>
      </c>
      <c r="E8" s="2" t="inlineStr">
        <is>
          <t>MED-002</t>
        </is>
      </c>
      <c r="F8" s="2" t="inlineStr">
        <is>
          <t>Soberanas Invisibles Pack x3</t>
        </is>
      </c>
      <c r="G8" s="5" t="n">
        <v>1</v>
      </c>
      <c r="H8" s="3" t="n">
        <v>4600</v>
      </c>
      <c r="I8" s="4" t="n">
        <v>0.05</v>
      </c>
      <c r="J8" s="2" t="inlineStr">
        <is>
          <t>transferencia</t>
        </is>
      </c>
      <c r="K8" s="5" t="n">
        <v>0</v>
      </c>
      <c r="L8" s="3" t="n">
        <v>4370</v>
      </c>
    </row>
    <row r="9">
      <c r="A9" s="6" t="inlineStr">
        <is>
          <t>2026-03-07</t>
        </is>
      </c>
      <c r="B9" s="2" t="inlineStr">
        <is>
          <t>FA-0002008</t>
        </is>
      </c>
      <c r="C9" s="2" t="inlineStr">
        <is>
          <t>online</t>
        </is>
      </c>
      <c r="D9" s="2" t="inlineStr">
        <is>
          <t>Consumidor Final</t>
        </is>
      </c>
      <c r="E9" s="2" t="inlineStr">
        <is>
          <t>REM-004</t>
        </is>
      </c>
      <c r="F9" s="2" t="inlineStr">
        <is>
          <t>Remera Oversize Vint</t>
        </is>
      </c>
      <c r="G9" s="5" t="n">
        <v>2</v>
      </c>
      <c r="H9" s="3" t="n">
        <v>17800</v>
      </c>
      <c r="I9" s="4" t="n">
        <v>0</v>
      </c>
      <c r="J9" s="2" t="inlineStr">
        <is>
          <t>transferencia</t>
        </is>
      </c>
      <c r="K9" s="5" t="n">
        <v>0</v>
      </c>
      <c r="L9" s="3" t="n">
        <v>35600</v>
      </c>
    </row>
    <row r="10">
      <c r="A10" s="6" t="inlineStr">
        <is>
          <t>2026-03-08</t>
        </is>
      </c>
      <c r="B10" s="2" t="inlineStr">
        <is>
          <t>FA-0002009</t>
        </is>
      </c>
      <c r="C10" s="2" t="inlineStr">
        <is>
          <t>showroom</t>
        </is>
      </c>
      <c r="D10" s="2" t="inlineStr">
        <is>
          <t>Consumidor Final</t>
        </is>
      </c>
      <c r="E10" s="2" t="inlineStr">
        <is>
          <t>MED-001</t>
        </is>
      </c>
      <c r="F10" s="2" t="inlineStr">
        <is>
          <t>Medias Element Pack x3</t>
        </is>
      </c>
      <c r="G10" s="5" t="n">
        <v>2</v>
      </c>
      <c r="H10" s="3" t="n">
        <v>5400</v>
      </c>
      <c r="I10" s="4" t="n">
        <v>0</v>
      </c>
      <c r="J10" s="2" t="inlineStr">
        <is>
          <t>mercado_pago</t>
        </is>
      </c>
      <c r="K10" s="5" t="n">
        <v>0</v>
      </c>
      <c r="L10" s="3" t="n">
        <v>10800</v>
      </c>
    </row>
    <row r="11">
      <c r="A11" s="6" t="inlineStr">
        <is>
          <t>2026-03-08</t>
        </is>
      </c>
      <c r="B11" s="2" t="inlineStr">
        <is>
          <t>FA-0002010</t>
        </is>
      </c>
      <c r="C11" s="2" t="inlineStr">
        <is>
          <t>minorista</t>
        </is>
      </c>
      <c r="D11" s="2" t="inlineStr">
        <is>
          <t>Consumidor Final</t>
        </is>
      </c>
      <c r="E11" s="2" t="inlineStr">
        <is>
          <t>REM-001</t>
        </is>
      </c>
      <c r="F11" s="2" t="inlineStr">
        <is>
          <t>Remera Algodón Básica</t>
        </is>
      </c>
      <c r="G11" s="5" t="n">
        <v>4</v>
      </c>
      <c r="H11" s="3" t="n">
        <v>12500</v>
      </c>
      <c r="I11" s="4" t="n">
        <v>0</v>
      </c>
      <c r="J11" s="2" t="inlineStr">
        <is>
          <t>mercado_pago</t>
        </is>
      </c>
      <c r="K11" s="5" t="n">
        <v>0</v>
      </c>
      <c r="L11" s="3" t="n">
        <v>50000</v>
      </c>
    </row>
    <row r="12">
      <c r="A12" s="6" t="inlineStr">
        <is>
          <t>2026-03-08</t>
        </is>
      </c>
      <c r="B12" s="2" t="inlineStr">
        <is>
          <t>FA-0002011</t>
        </is>
      </c>
      <c r="C12" s="2" t="inlineStr">
        <is>
          <t>minorista</t>
        </is>
      </c>
      <c r="D12" s="2" t="inlineStr">
        <is>
          <t>Consumidor Final</t>
        </is>
      </c>
      <c r="E12" s="2" t="inlineStr">
        <is>
          <t>REM-001</t>
        </is>
      </c>
      <c r="F12" s="2" t="inlineStr">
        <is>
          <t>Remera Algodón Básica</t>
        </is>
      </c>
      <c r="G12" s="5" t="n">
        <v>2</v>
      </c>
      <c r="H12" s="3" t="n">
        <v>12500</v>
      </c>
      <c r="I12" s="4" t="n">
        <v>0</v>
      </c>
      <c r="J12" s="2" t="inlineStr">
        <is>
          <t>transferencia</t>
        </is>
      </c>
      <c r="K12" s="5" t="n">
        <v>0</v>
      </c>
      <c r="L12" s="3" t="n">
        <v>25000</v>
      </c>
    </row>
    <row r="13">
      <c r="A13" s="6" t="inlineStr">
        <is>
          <t>2026-03-12</t>
        </is>
      </c>
      <c r="B13" s="2" t="inlineStr">
        <is>
          <t>FA-0002012</t>
        </is>
      </c>
      <c r="C13" s="2" t="inlineStr">
        <is>
          <t>online</t>
        </is>
      </c>
      <c r="D13" s="2" t="inlineStr">
        <is>
          <t>Consumidor Final</t>
        </is>
      </c>
      <c r="E13" s="2" t="inlineStr">
        <is>
          <t>PAN-001</t>
        </is>
      </c>
      <c r="F13" s="2" t="inlineStr">
        <is>
          <t>Pantalón Jean Chupín</t>
        </is>
      </c>
      <c r="G13" s="5" t="n">
        <v>4</v>
      </c>
      <c r="H13" s="3" t="n">
        <v>44000</v>
      </c>
      <c r="I13" s="4" t="n">
        <v>0</v>
      </c>
      <c r="J13" s="2" t="inlineStr">
        <is>
          <t>efectivo</t>
        </is>
      </c>
      <c r="K13" s="5" t="n">
        <v>0</v>
      </c>
      <c r="L13" s="3" t="n">
        <v>176000</v>
      </c>
    </row>
    <row r="14">
      <c r="A14" s="6" t="inlineStr">
        <is>
          <t>2026-03-12</t>
        </is>
      </c>
      <c r="B14" s="2" t="inlineStr">
        <is>
          <t>FA-0002013</t>
        </is>
      </c>
      <c r="C14" s="2" t="inlineStr">
        <is>
          <t>mayorista</t>
        </is>
      </c>
      <c r="D14" s="2" t="inlineStr">
        <is>
          <t>Consumidor Final</t>
        </is>
      </c>
      <c r="E14" s="2" t="inlineStr">
        <is>
          <t>PAN-002</t>
        </is>
      </c>
      <c r="F14" s="2" t="inlineStr">
        <is>
          <t>Pantalón Jean Recto</t>
        </is>
      </c>
      <c r="G14" s="5" t="n">
        <v>10</v>
      </c>
      <c r="H14" s="3" t="n">
        <v>28000</v>
      </c>
      <c r="I14" s="4" t="n">
        <v>0</v>
      </c>
      <c r="J14" s="2" t="inlineStr">
        <is>
          <t>cuenta_corriente</t>
        </is>
      </c>
      <c r="K14" s="5" t="n">
        <v>30</v>
      </c>
      <c r="L14" s="3" t="n">
        <v>280000</v>
      </c>
    </row>
    <row r="15">
      <c r="A15" s="6" t="inlineStr">
        <is>
          <t>2026-03-12</t>
        </is>
      </c>
      <c r="B15" s="2" t="inlineStr">
        <is>
          <t>FA-0002014</t>
        </is>
      </c>
      <c r="C15" s="2" t="inlineStr">
        <is>
          <t>showroom</t>
        </is>
      </c>
      <c r="D15" s="2" t="inlineStr">
        <is>
          <t>Consumidor Final</t>
        </is>
      </c>
      <c r="E15" s="2" t="inlineStr">
        <is>
          <t>MED-001</t>
        </is>
      </c>
      <c r="F15" s="2" t="inlineStr">
        <is>
          <t>Medias Element Pack x3</t>
        </is>
      </c>
      <c r="G15" s="5" t="n">
        <v>3</v>
      </c>
      <c r="H15" s="3" t="n">
        <v>5400</v>
      </c>
      <c r="I15" s="4" t="n">
        <v>0</v>
      </c>
      <c r="J15" s="2" t="inlineStr">
        <is>
          <t>efectivo</t>
        </is>
      </c>
      <c r="K15" s="5" t="n">
        <v>0</v>
      </c>
      <c r="L15" s="3" t="n">
        <v>16200</v>
      </c>
    </row>
    <row r="16">
      <c r="A16" s="6" t="inlineStr">
        <is>
          <t>2026-03-12</t>
        </is>
      </c>
      <c r="B16" s="2" t="inlineStr">
        <is>
          <t>FA-0002015</t>
        </is>
      </c>
      <c r="C16" s="2" t="inlineStr">
        <is>
          <t>showroom</t>
        </is>
      </c>
      <c r="D16" s="2" t="inlineStr">
        <is>
          <t>Consumidor Final</t>
        </is>
      </c>
      <c r="E16" s="2" t="inlineStr">
        <is>
          <t>ACC-003</t>
        </is>
      </c>
      <c r="F16" s="2" t="inlineStr">
        <is>
          <t>Mochila Urbana Porta Notebook</t>
        </is>
      </c>
      <c r="G16" s="5" t="n">
        <v>2</v>
      </c>
      <c r="H16" s="3" t="n">
        <v>52000</v>
      </c>
      <c r="I16" s="4" t="n">
        <v>0</v>
      </c>
      <c r="J16" s="2" t="inlineStr">
        <is>
          <t>efectivo</t>
        </is>
      </c>
      <c r="K16" s="5" t="n">
        <v>0</v>
      </c>
      <c r="L16" s="3" t="n">
        <v>104000</v>
      </c>
    </row>
    <row r="17">
      <c r="A17" s="6" t="inlineStr">
        <is>
          <t>2026-03-13</t>
        </is>
      </c>
      <c r="B17" s="2" t="inlineStr">
        <is>
          <t>FA-0002016</t>
        </is>
      </c>
      <c r="C17" s="2" t="inlineStr">
        <is>
          <t>showroom</t>
        </is>
      </c>
      <c r="D17" s="2" t="inlineStr">
        <is>
          <t>Consumidor Final</t>
        </is>
      </c>
      <c r="E17" s="2" t="inlineStr">
        <is>
          <t>CAM-001</t>
        </is>
      </c>
      <c r="F17" s="2" t="inlineStr">
        <is>
          <t>Campera Trucker Impermeable</t>
        </is>
      </c>
      <c r="G17" s="5" t="n">
        <v>1</v>
      </c>
      <c r="H17" s="3" t="n">
        <v>69000</v>
      </c>
      <c r="I17" s="4" t="n">
        <v>0</v>
      </c>
      <c r="J17" s="2" t="inlineStr">
        <is>
          <t>transferencia</t>
        </is>
      </c>
      <c r="K17" s="5" t="n">
        <v>0</v>
      </c>
      <c r="L17" s="3" t="n">
        <v>69000</v>
      </c>
    </row>
    <row r="18">
      <c r="A18" s="6" t="inlineStr">
        <is>
          <t>2026-03-14</t>
        </is>
      </c>
      <c r="B18" s="2" t="inlineStr">
        <is>
          <t>FA-0002017</t>
        </is>
      </c>
      <c r="C18" s="2" t="inlineStr">
        <is>
          <t>minorista</t>
        </is>
      </c>
      <c r="D18" s="2" t="inlineStr">
        <is>
          <t>Consumidor Final</t>
        </is>
      </c>
      <c r="E18" s="2" t="inlineStr">
        <is>
          <t>REM-001</t>
        </is>
      </c>
      <c r="F18" s="2" t="inlineStr">
        <is>
          <t>Remera Algodón Básica</t>
        </is>
      </c>
      <c r="G18" s="5" t="n">
        <v>3</v>
      </c>
      <c r="H18" s="3" t="n">
        <v>12500</v>
      </c>
      <c r="I18" s="4" t="n">
        <v>0</v>
      </c>
      <c r="J18" s="2" t="inlineStr">
        <is>
          <t>mercado_pago</t>
        </is>
      </c>
      <c r="K18" s="5" t="n">
        <v>0</v>
      </c>
      <c r="L18" s="3" t="n">
        <v>37500</v>
      </c>
    </row>
    <row r="19">
      <c r="A19" s="6" t="inlineStr">
        <is>
          <t>2026-03-14</t>
        </is>
      </c>
      <c r="B19" s="2" t="inlineStr">
        <is>
          <t>FA-0002018</t>
        </is>
      </c>
      <c r="C19" s="2" t="inlineStr">
        <is>
          <t>showroom</t>
        </is>
      </c>
      <c r="D19" s="2" t="inlineStr">
        <is>
          <t>Consumidor Final</t>
        </is>
      </c>
      <c r="E19" s="2" t="inlineStr">
        <is>
          <t>TOP-001</t>
        </is>
      </c>
      <c r="F19" s="2" t="inlineStr">
        <is>
          <t>Top Deportivo Suplex</t>
        </is>
      </c>
      <c r="G19" s="5" t="n">
        <v>3</v>
      </c>
      <c r="H19" s="3" t="n">
        <v>14900</v>
      </c>
      <c r="I19" s="4" t="n">
        <v>0</v>
      </c>
      <c r="J19" s="2" t="inlineStr">
        <is>
          <t>mercado_pago</t>
        </is>
      </c>
      <c r="K19" s="5" t="n">
        <v>0</v>
      </c>
      <c r="L19" s="3" t="n">
        <v>44700</v>
      </c>
    </row>
    <row r="20">
      <c r="A20" s="6" t="inlineStr">
        <is>
          <t>2026-03-15</t>
        </is>
      </c>
      <c r="B20" s="2" t="inlineStr">
        <is>
          <t>FA-0002019</t>
        </is>
      </c>
      <c r="C20" s="2" t="inlineStr">
        <is>
          <t>mayorista</t>
        </is>
      </c>
      <c r="D20" s="2" t="inlineStr">
        <is>
          <t>Consumidor Final</t>
        </is>
      </c>
      <c r="E20" s="2" t="inlineStr">
        <is>
          <t>MED-001</t>
        </is>
      </c>
      <c r="F20" s="2" t="inlineStr">
        <is>
          <t>Medias Element Pack x3</t>
        </is>
      </c>
      <c r="G20" s="5" t="n">
        <v>18</v>
      </c>
      <c r="H20" s="3" t="n">
        <v>3400</v>
      </c>
      <c r="I20" s="4" t="n">
        <v>0</v>
      </c>
      <c r="J20" s="2" t="inlineStr">
        <is>
          <t>cuenta_corriente</t>
        </is>
      </c>
      <c r="K20" s="5" t="n">
        <v>30</v>
      </c>
      <c r="L20" s="3" t="n">
        <v>61200</v>
      </c>
    </row>
    <row r="21">
      <c r="A21" s="6" t="inlineStr">
        <is>
          <t>2026-03-15</t>
        </is>
      </c>
      <c r="B21" s="2" t="inlineStr">
        <is>
          <t>FA-0002020</t>
        </is>
      </c>
      <c r="C21" s="2" t="inlineStr">
        <is>
          <t>online</t>
        </is>
      </c>
      <c r="D21" s="2" t="inlineStr">
        <is>
          <t>Consumidor Final</t>
        </is>
      </c>
      <c r="E21" s="2" t="inlineStr">
        <is>
          <t>BUZ-001</t>
        </is>
      </c>
      <c r="F21" s="2" t="inlineStr">
        <is>
          <t>Buzo Canguro con Frisa</t>
        </is>
      </c>
      <c r="G21" s="5" t="n">
        <v>2</v>
      </c>
      <c r="H21" s="3" t="n">
        <v>34000</v>
      </c>
      <c r="I21" s="4" t="n">
        <v>0</v>
      </c>
      <c r="J21" s="2" t="inlineStr">
        <is>
          <t>mercado_pago</t>
        </is>
      </c>
      <c r="K21" s="5" t="n">
        <v>0</v>
      </c>
      <c r="L21" s="3" t="n">
        <v>68000</v>
      </c>
    </row>
    <row r="22">
      <c r="A22" s="6" t="inlineStr">
        <is>
          <t>2026-03-15</t>
        </is>
      </c>
      <c r="B22" s="2" t="inlineStr">
        <is>
          <t>FA-0002021</t>
        </is>
      </c>
      <c r="C22" s="2" t="inlineStr">
        <is>
          <t>mayorista</t>
        </is>
      </c>
      <c r="D22" s="2" t="inlineStr">
        <is>
          <t>Juan Perez</t>
        </is>
      </c>
      <c r="E22" s="2" t="inlineStr">
        <is>
          <t>REM-003</t>
        </is>
      </c>
      <c r="F22" s="2" t="inlineStr">
        <is>
          <t>Remera Estampada Urban</t>
        </is>
      </c>
      <c r="G22" s="5" t="n">
        <v>18</v>
      </c>
      <c r="H22" s="3" t="n">
        <v>9900</v>
      </c>
      <c r="I22" s="4" t="n">
        <v>0</v>
      </c>
      <c r="J22" s="2" t="inlineStr">
        <is>
          <t>cuenta_corriente</t>
        </is>
      </c>
      <c r="K22" s="5" t="n">
        <v>30</v>
      </c>
      <c r="L22" s="3" t="n">
        <v>178200</v>
      </c>
    </row>
    <row r="23">
      <c r="A23" s="6" t="inlineStr">
        <is>
          <t>2026-03-15</t>
        </is>
      </c>
      <c r="B23" s="2" t="inlineStr">
        <is>
          <t>FA-0002022</t>
        </is>
      </c>
      <c r="C23" s="2" t="inlineStr">
        <is>
          <t>minorista</t>
        </is>
      </c>
      <c r="D23" s="2" t="inlineStr">
        <is>
          <t>Consumidor Final</t>
        </is>
      </c>
      <c r="E23" s="2" t="inlineStr">
        <is>
          <t>REM-001</t>
        </is>
      </c>
      <c r="F23" s="2" t="inlineStr">
        <is>
          <t>Remera Algodón Básica</t>
        </is>
      </c>
      <c r="G23" s="5" t="n">
        <v>1</v>
      </c>
      <c r="H23" s="3" t="n">
        <v>12500</v>
      </c>
      <c r="I23" s="4" t="n">
        <v>0</v>
      </c>
      <c r="J23" s="2" t="inlineStr">
        <is>
          <t>mercado_pago</t>
        </is>
      </c>
      <c r="K23" s="5" t="n">
        <v>0</v>
      </c>
      <c r="L23" s="3" t="n">
        <v>12500</v>
      </c>
    </row>
    <row r="24">
      <c r="A24" s="6" t="inlineStr">
        <is>
          <t>2026-03-16</t>
        </is>
      </c>
      <c r="B24" s="2" t="inlineStr">
        <is>
          <t>FA-0002023</t>
        </is>
      </c>
      <c r="C24" s="2" t="inlineStr">
        <is>
          <t>showroom</t>
        </is>
      </c>
      <c r="D24" s="2" t="inlineStr">
        <is>
          <t>Consumidor Final</t>
        </is>
      </c>
      <c r="E24" s="2" t="inlineStr">
        <is>
          <t>MED-001</t>
        </is>
      </c>
      <c r="F24" s="2" t="inlineStr">
        <is>
          <t>Medias Element Pack x3</t>
        </is>
      </c>
      <c r="G24" s="5" t="n">
        <v>1</v>
      </c>
      <c r="H24" s="3" t="n">
        <v>5400</v>
      </c>
      <c r="I24" s="4" t="n">
        <v>0.05</v>
      </c>
      <c r="J24" s="2" t="inlineStr">
        <is>
          <t>transferencia</t>
        </is>
      </c>
      <c r="K24" s="5" t="n">
        <v>0</v>
      </c>
      <c r="L24" s="3" t="n">
        <v>5130</v>
      </c>
    </row>
    <row r="25">
      <c r="A25" s="6" t="inlineStr">
        <is>
          <t>2026-03-17</t>
        </is>
      </c>
      <c r="B25" s="2" t="inlineStr">
        <is>
          <t>FA-0002024</t>
        </is>
      </c>
      <c r="C25" s="2" t="inlineStr">
        <is>
          <t>minorista</t>
        </is>
      </c>
      <c r="D25" s="2" t="inlineStr">
        <is>
          <t>Consumidor Final</t>
        </is>
      </c>
      <c r="E25" s="2" t="inlineStr">
        <is>
          <t>ACC-001</t>
        </is>
      </c>
      <c r="F25" s="2" t="inlineStr">
        <is>
          <t>Gorra Trucker Urbana</t>
        </is>
      </c>
      <c r="G25" s="5" t="n">
        <v>3</v>
      </c>
      <c r="H25" s="3" t="n">
        <v>11000</v>
      </c>
      <c r="I25" s="4" t="n">
        <v>0</v>
      </c>
      <c r="J25" s="2" t="inlineStr">
        <is>
          <t>mercado_pago</t>
        </is>
      </c>
      <c r="K25" s="5" t="n">
        <v>0</v>
      </c>
      <c r="L25" s="3" t="n">
        <v>33000</v>
      </c>
    </row>
    <row r="26">
      <c r="A26" s="6" t="inlineStr">
        <is>
          <t>2026-03-17</t>
        </is>
      </c>
      <c r="B26" s="2" t="inlineStr">
        <is>
          <t>FA-0002025</t>
        </is>
      </c>
      <c r="C26" s="2" t="inlineStr">
        <is>
          <t>minorista</t>
        </is>
      </c>
      <c r="D26" s="2" t="inlineStr">
        <is>
          <t>Consumidor Final</t>
        </is>
      </c>
      <c r="E26" s="2" t="inlineStr">
        <is>
          <t>TOP-002</t>
        </is>
      </c>
      <c r="F26" s="2" t="inlineStr">
        <is>
          <t>Top Fitness Seamless</t>
        </is>
      </c>
      <c r="G26" s="5" t="n">
        <v>4</v>
      </c>
      <c r="H26" s="3" t="n">
        <v>16500</v>
      </c>
      <c r="I26" s="4" t="n">
        <v>0</v>
      </c>
      <c r="J26" s="2" t="inlineStr">
        <is>
          <t>mercado_pago</t>
        </is>
      </c>
      <c r="K26" s="5" t="n">
        <v>0</v>
      </c>
      <c r="L26" s="3" t="n">
        <v>66000</v>
      </c>
    </row>
    <row r="27">
      <c r="A27" s="6" t="inlineStr">
        <is>
          <t>2026-03-18</t>
        </is>
      </c>
      <c r="B27" s="2" t="inlineStr">
        <is>
          <t>FA-0002026</t>
        </is>
      </c>
      <c r="C27" s="2" t="inlineStr">
        <is>
          <t>online</t>
        </is>
      </c>
      <c r="D27" s="2" t="inlineStr">
        <is>
          <t>Consumidor Final</t>
        </is>
      </c>
      <c r="E27" s="2" t="inlineStr">
        <is>
          <t>CAL-002</t>
        </is>
      </c>
      <c r="F27" s="2" t="inlineStr">
        <is>
          <t>Calza Short Deportiva</t>
        </is>
      </c>
      <c r="G27" s="5" t="n">
        <v>3</v>
      </c>
      <c r="H27" s="3" t="n">
        <v>18500</v>
      </c>
      <c r="I27" s="4" t="n">
        <v>0</v>
      </c>
      <c r="J27" s="2" t="inlineStr">
        <is>
          <t>efectivo</t>
        </is>
      </c>
      <c r="K27" s="5" t="n">
        <v>0</v>
      </c>
      <c r="L27" s="3" t="n">
        <v>55500</v>
      </c>
    </row>
    <row r="28">
      <c r="A28" s="6" t="inlineStr">
        <is>
          <t>2026-03-19</t>
        </is>
      </c>
      <c r="B28" s="2" t="inlineStr">
        <is>
          <t>FA-0002027</t>
        </is>
      </c>
      <c r="C28" s="2" t="inlineStr">
        <is>
          <t>online</t>
        </is>
      </c>
      <c r="D28" s="2" t="inlineStr">
        <is>
          <t>Consumidor Final</t>
        </is>
      </c>
      <c r="E28" s="2" t="inlineStr">
        <is>
          <t>BUZ-003</t>
        </is>
      </c>
      <c r="F28" s="2" t="inlineStr">
        <is>
          <t>Buzo Cuello Redondo Premium</t>
        </is>
      </c>
      <c r="G28" s="5" t="n">
        <v>3</v>
      </c>
      <c r="H28" s="3" t="n">
        <v>38500</v>
      </c>
      <c r="I28" s="4" t="n">
        <v>0</v>
      </c>
      <c r="J28" s="2" t="inlineStr">
        <is>
          <t>transferencia</t>
        </is>
      </c>
      <c r="K28" s="5" t="n">
        <v>0</v>
      </c>
      <c r="L28" s="3" t="n">
        <v>115500</v>
      </c>
    </row>
    <row r="29">
      <c r="A29" s="6" t="inlineStr">
        <is>
          <t>2026-03-20</t>
        </is>
      </c>
      <c r="B29" s="2" t="inlineStr">
        <is>
          <t>FA-0002028</t>
        </is>
      </c>
      <c r="C29" s="2" t="inlineStr">
        <is>
          <t>showroom</t>
        </is>
      </c>
      <c r="D29" s="2" t="inlineStr">
        <is>
          <t>Consumidor Final</t>
        </is>
      </c>
      <c r="E29" s="2" t="inlineStr">
        <is>
          <t>TOP-002</t>
        </is>
      </c>
      <c r="F29" s="2" t="inlineStr">
        <is>
          <t>Top Fitness Seamless</t>
        </is>
      </c>
      <c r="G29" s="5" t="n">
        <v>1</v>
      </c>
      <c r="H29" s="3" t="n">
        <v>16500</v>
      </c>
      <c r="I29" s="4" t="n">
        <v>0</v>
      </c>
      <c r="J29" s="2" t="inlineStr">
        <is>
          <t>efectivo</t>
        </is>
      </c>
      <c r="K29" s="5" t="n">
        <v>0</v>
      </c>
      <c r="L29" s="3" t="n">
        <v>16500</v>
      </c>
    </row>
    <row r="30">
      <c r="A30" s="6" t="inlineStr">
        <is>
          <t>2026-03-20</t>
        </is>
      </c>
      <c r="B30" s="2" t="inlineStr">
        <is>
          <t>FA-0002029</t>
        </is>
      </c>
      <c r="C30" s="2" t="inlineStr">
        <is>
          <t>online</t>
        </is>
      </c>
      <c r="D30" s="2" t="inlineStr">
        <is>
          <t>Consumidor Final</t>
        </is>
      </c>
      <c r="E30" s="2" t="inlineStr">
        <is>
          <t>REM-004</t>
        </is>
      </c>
      <c r="F30" s="2" t="inlineStr">
        <is>
          <t>Remera Oversize Vint</t>
        </is>
      </c>
      <c r="G30" s="5" t="n">
        <v>4</v>
      </c>
      <c r="H30" s="3" t="n">
        <v>17800</v>
      </c>
      <c r="I30" s="4" t="n">
        <v>0</v>
      </c>
      <c r="J30" s="2" t="inlineStr">
        <is>
          <t>mercado_pago</t>
        </is>
      </c>
      <c r="K30" s="5" t="n">
        <v>0</v>
      </c>
      <c r="L30" s="3" t="n">
        <v>71200</v>
      </c>
    </row>
    <row r="31">
      <c r="A31" s="6" t="inlineStr">
        <is>
          <t>2026-03-21</t>
        </is>
      </c>
      <c r="B31" s="2" t="inlineStr">
        <is>
          <t>FA-0002030</t>
        </is>
      </c>
      <c r="C31" s="2" t="inlineStr">
        <is>
          <t>showroom</t>
        </is>
      </c>
      <c r="D31" s="2" t="inlineStr">
        <is>
          <t>Consumidor Final</t>
        </is>
      </c>
      <c r="E31" s="2" t="inlineStr">
        <is>
          <t>ACC-002</t>
        </is>
      </c>
      <c r="F31" s="2" t="inlineStr">
        <is>
          <t>Cinturón de Lona Reforzado</t>
        </is>
      </c>
      <c r="G31" s="5" t="n">
        <v>2</v>
      </c>
      <c r="H31" s="3" t="n">
        <v>9500</v>
      </c>
      <c r="I31" s="4" t="n">
        <v>0</v>
      </c>
      <c r="J31" s="2" t="inlineStr">
        <is>
          <t>transferencia</t>
        </is>
      </c>
      <c r="K31" s="5" t="n">
        <v>0</v>
      </c>
      <c r="L31" s="3" t="n">
        <v>19000</v>
      </c>
    </row>
    <row r="32">
      <c r="A32" s="6" t="inlineStr">
        <is>
          <t>2026-03-21</t>
        </is>
      </c>
      <c r="B32" s="2" t="inlineStr">
        <is>
          <t>FA-0002031</t>
        </is>
      </c>
      <c r="C32" s="2" t="inlineStr">
        <is>
          <t>online</t>
        </is>
      </c>
      <c r="D32" s="2" t="inlineStr">
        <is>
          <t>Consumidor Final</t>
        </is>
      </c>
      <c r="E32" s="2" t="inlineStr">
        <is>
          <t>MED-001</t>
        </is>
      </c>
      <c r="F32" s="2" t="inlineStr">
        <is>
          <t>Medias Element Pack x3</t>
        </is>
      </c>
      <c r="G32" s="5" t="n">
        <v>2</v>
      </c>
      <c r="H32" s="3" t="n">
        <v>5400</v>
      </c>
      <c r="I32" s="4" t="n">
        <v>0.05</v>
      </c>
      <c r="J32" s="2" t="inlineStr">
        <is>
          <t>transferencia</t>
        </is>
      </c>
      <c r="K32" s="5" t="n">
        <v>0</v>
      </c>
      <c r="L32" s="3" t="n">
        <v>10260</v>
      </c>
    </row>
    <row r="33">
      <c r="A33" s="6" t="inlineStr">
        <is>
          <t>2026-03-21</t>
        </is>
      </c>
      <c r="B33" s="2" t="inlineStr">
        <is>
          <t>FA-0002032</t>
        </is>
      </c>
      <c r="C33" s="2" t="inlineStr">
        <is>
          <t>mayorista</t>
        </is>
      </c>
      <c r="D33" s="2" t="inlineStr">
        <is>
          <t>Juan Perez</t>
        </is>
      </c>
      <c r="E33" s="2" t="inlineStr">
        <is>
          <t>ACC-001</t>
        </is>
      </c>
      <c r="F33" s="2" t="inlineStr">
        <is>
          <t>Gorra Trucker Urbana</t>
        </is>
      </c>
      <c r="G33" s="5" t="n">
        <v>19</v>
      </c>
      <c r="H33" s="3" t="n">
        <v>6900</v>
      </c>
      <c r="I33" s="4" t="n">
        <v>0</v>
      </c>
      <c r="J33" s="2" t="inlineStr">
        <is>
          <t>cuenta_corriente</t>
        </is>
      </c>
      <c r="K33" s="5" t="n">
        <v>30</v>
      </c>
      <c r="L33" s="3" t="n">
        <v>131100</v>
      </c>
    </row>
    <row r="34">
      <c r="A34" s="6" t="inlineStr">
        <is>
          <t>2026-03-21</t>
        </is>
      </c>
      <c r="B34" s="2" t="inlineStr">
        <is>
          <t>FA-0002033</t>
        </is>
      </c>
      <c r="C34" s="2" t="inlineStr">
        <is>
          <t>minorista</t>
        </is>
      </c>
      <c r="D34" s="2" t="inlineStr">
        <is>
          <t>Consumidor Final</t>
        </is>
      </c>
      <c r="E34" s="2" t="inlineStr">
        <is>
          <t>ACC-003</t>
        </is>
      </c>
      <c r="F34" s="2" t="inlineStr">
        <is>
          <t>Mochila Urbana Porta Notebook</t>
        </is>
      </c>
      <c r="G34" s="5" t="n">
        <v>1</v>
      </c>
      <c r="H34" s="3" t="n">
        <v>52000</v>
      </c>
      <c r="I34" s="4" t="n">
        <v>0.05</v>
      </c>
      <c r="J34" s="2" t="inlineStr">
        <is>
          <t>transferencia</t>
        </is>
      </c>
      <c r="K34" s="5" t="n">
        <v>0</v>
      </c>
      <c r="L34" s="3" t="n">
        <v>49400</v>
      </c>
    </row>
    <row r="35">
      <c r="A35" s="6" t="inlineStr">
        <is>
          <t>2026-03-22</t>
        </is>
      </c>
      <c r="B35" s="2" t="inlineStr">
        <is>
          <t>FA-0002034</t>
        </is>
      </c>
      <c r="C35" s="2" t="inlineStr">
        <is>
          <t>showroom</t>
        </is>
      </c>
      <c r="D35" s="2" t="inlineStr">
        <is>
          <t>Consumidor Final</t>
        </is>
      </c>
      <c r="E35" s="2" t="inlineStr">
        <is>
          <t>CAL-002</t>
        </is>
      </c>
      <c r="F35" s="2" t="inlineStr">
        <is>
          <t>Calza Short Deportiva</t>
        </is>
      </c>
      <c r="G35" s="5" t="n">
        <v>2</v>
      </c>
      <c r="H35" s="3" t="n">
        <v>18500</v>
      </c>
      <c r="I35" s="4" t="n">
        <v>0</v>
      </c>
      <c r="J35" s="2" t="inlineStr">
        <is>
          <t>mercado_pago</t>
        </is>
      </c>
      <c r="K35" s="5" t="n">
        <v>0</v>
      </c>
      <c r="L35" s="3" t="n">
        <v>37000</v>
      </c>
    </row>
    <row r="36">
      <c r="A36" s="6" t="inlineStr">
        <is>
          <t>2026-03-22</t>
        </is>
      </c>
      <c r="B36" s="2" t="inlineStr">
        <is>
          <t>FA-0002035</t>
        </is>
      </c>
      <c r="C36" s="2" t="inlineStr">
        <is>
          <t>online</t>
        </is>
      </c>
      <c r="D36" s="2" t="inlineStr">
        <is>
          <t>Consumidor Final</t>
        </is>
      </c>
      <c r="E36" s="2" t="inlineStr">
        <is>
          <t>PAN-003</t>
        </is>
      </c>
      <c r="F36" s="2" t="inlineStr">
        <is>
          <t>Pantalón Cargo Gabardina</t>
        </is>
      </c>
      <c r="G36" s="5" t="n">
        <v>2</v>
      </c>
      <c r="H36" s="3" t="n">
        <v>41000</v>
      </c>
      <c r="I36" s="4" t="n">
        <v>0</v>
      </c>
      <c r="J36" s="2" t="inlineStr">
        <is>
          <t>mercado_pago</t>
        </is>
      </c>
      <c r="K36" s="5" t="n">
        <v>0</v>
      </c>
      <c r="L36" s="3" t="n">
        <v>82000</v>
      </c>
    </row>
    <row r="37">
      <c r="A37" s="6" t="inlineStr">
        <is>
          <t>2026-03-23</t>
        </is>
      </c>
      <c r="B37" s="2" t="inlineStr">
        <is>
          <t>FA-0002036</t>
        </is>
      </c>
      <c r="C37" s="2" t="inlineStr">
        <is>
          <t>online</t>
        </is>
      </c>
      <c r="D37" s="2" t="inlineStr">
        <is>
          <t>Consumidor Final</t>
        </is>
      </c>
      <c r="E37" s="2" t="inlineStr">
        <is>
          <t>ACC-002</t>
        </is>
      </c>
      <c r="F37" s="2" t="inlineStr">
        <is>
          <t>Cinturón de Lona Reforzado</t>
        </is>
      </c>
      <c r="G37" s="5" t="n">
        <v>2</v>
      </c>
      <c r="H37" s="3" t="n">
        <v>9500</v>
      </c>
      <c r="I37" s="4" t="n">
        <v>0</v>
      </c>
      <c r="J37" s="2" t="inlineStr">
        <is>
          <t>transferencia</t>
        </is>
      </c>
      <c r="K37" s="5" t="n">
        <v>0</v>
      </c>
      <c r="L37" s="3" t="n">
        <v>19000</v>
      </c>
    </row>
    <row r="38">
      <c r="A38" s="6" t="inlineStr">
        <is>
          <t>2026-03-23</t>
        </is>
      </c>
      <c r="B38" s="2" t="inlineStr">
        <is>
          <t>FA-0002037</t>
        </is>
      </c>
      <c r="C38" s="2" t="inlineStr">
        <is>
          <t>mayorista</t>
        </is>
      </c>
      <c r="D38" s="2" t="inlineStr">
        <is>
          <t>Estilo Propio</t>
        </is>
      </c>
      <c r="E38" s="2" t="inlineStr">
        <is>
          <t>BUZ-003</t>
        </is>
      </c>
      <c r="F38" s="2" t="inlineStr">
        <is>
          <t>Buzo Cuello Redondo Premium</t>
        </is>
      </c>
      <c r="G38" s="5" t="n">
        <v>17</v>
      </c>
      <c r="H38" s="3" t="n">
        <v>25000</v>
      </c>
      <c r="I38" s="4" t="n">
        <v>0.05</v>
      </c>
      <c r="J38" s="2" t="inlineStr">
        <is>
          <t>cuenta_corriente</t>
        </is>
      </c>
      <c r="K38" s="5" t="n">
        <v>30</v>
      </c>
      <c r="L38" s="3" t="n">
        <v>403750</v>
      </c>
    </row>
    <row r="39">
      <c r="A39" s="6" t="inlineStr">
        <is>
          <t>2026-03-23</t>
        </is>
      </c>
      <c r="B39" s="2" t="inlineStr">
        <is>
          <t>FA-0002038</t>
        </is>
      </c>
      <c r="C39" s="2" t="inlineStr">
        <is>
          <t>online</t>
        </is>
      </c>
      <c r="D39" s="2" t="inlineStr">
        <is>
          <t>Consumidor Final</t>
        </is>
      </c>
      <c r="E39" s="2" t="inlineStr">
        <is>
          <t>BUZ-001</t>
        </is>
      </c>
      <c r="F39" s="2" t="inlineStr">
        <is>
          <t>Buzo Canguro con Frisa</t>
        </is>
      </c>
      <c r="G39" s="5" t="n">
        <v>4</v>
      </c>
      <c r="H39" s="3" t="n">
        <v>34000</v>
      </c>
      <c r="I39" s="4" t="n">
        <v>0</v>
      </c>
      <c r="J39" s="2" t="inlineStr">
        <is>
          <t>mercado_pago</t>
        </is>
      </c>
      <c r="K39" s="5" t="n">
        <v>0</v>
      </c>
      <c r="L39" s="3" t="n">
        <v>136000</v>
      </c>
    </row>
    <row r="40">
      <c r="A40" s="6" t="inlineStr">
        <is>
          <t>2026-03-26</t>
        </is>
      </c>
      <c r="B40" s="2" t="inlineStr">
        <is>
          <t>FA-0002039</t>
        </is>
      </c>
      <c r="C40" s="2" t="inlineStr">
        <is>
          <t>minorista</t>
        </is>
      </c>
      <c r="D40" s="2" t="inlineStr">
        <is>
          <t>Consumidor Final</t>
        </is>
      </c>
      <c r="E40" s="2" t="inlineStr">
        <is>
          <t>BUZ-002</t>
        </is>
      </c>
      <c r="F40" s="2" t="inlineStr">
        <is>
          <t>Buzo Canguro con Frisa</t>
        </is>
      </c>
      <c r="G40" s="5" t="n">
        <v>1</v>
      </c>
      <c r="H40" s="3" t="n">
        <v>34000</v>
      </c>
      <c r="I40" s="4" t="n">
        <v>0.05</v>
      </c>
      <c r="J40" s="2" t="inlineStr">
        <is>
          <t>efectivo</t>
        </is>
      </c>
      <c r="K40" s="5" t="n">
        <v>0</v>
      </c>
      <c r="L40" s="3" t="n">
        <v>32300</v>
      </c>
    </row>
    <row r="41">
      <c r="A41" s="6" t="inlineStr">
        <is>
          <t>2026-03-26</t>
        </is>
      </c>
      <c r="B41" s="2" t="inlineStr">
        <is>
          <t>FA-0002040</t>
        </is>
      </c>
      <c r="C41" s="2" t="inlineStr">
        <is>
          <t>minorista</t>
        </is>
      </c>
      <c r="D41" s="2" t="inlineStr">
        <is>
          <t>Consumidor Final</t>
        </is>
      </c>
      <c r="E41" s="2" t="inlineStr">
        <is>
          <t>MED-001</t>
        </is>
      </c>
      <c r="F41" s="2" t="inlineStr">
        <is>
          <t>Medias Element Pack x3</t>
        </is>
      </c>
      <c r="G41" s="5" t="n">
        <v>2</v>
      </c>
      <c r="H41" s="3" t="n">
        <v>5400</v>
      </c>
      <c r="I41" s="4" t="n">
        <v>0.05</v>
      </c>
      <c r="J41" s="2" t="inlineStr">
        <is>
          <t>mercado_pago</t>
        </is>
      </c>
      <c r="K41" s="5" t="n">
        <v>0</v>
      </c>
      <c r="L41" s="3" t="n">
        <v>10260</v>
      </c>
    </row>
    <row r="42">
      <c r="A42" s="6" t="inlineStr">
        <is>
          <t>2026-03-27</t>
        </is>
      </c>
      <c r="B42" s="2" t="inlineStr">
        <is>
          <t>FA-0002041</t>
        </is>
      </c>
      <c r="C42" s="2" t="inlineStr">
        <is>
          <t>mayorista</t>
        </is>
      </c>
      <c r="D42" s="2" t="inlineStr">
        <is>
          <t>Mariana Gomez</t>
        </is>
      </c>
      <c r="E42" s="2" t="inlineStr">
        <is>
          <t>ACC-002</t>
        </is>
      </c>
      <c r="F42" s="2" t="inlineStr">
        <is>
          <t>Cinturón de Lona Reforzado</t>
        </is>
      </c>
      <c r="G42" s="5" t="n">
        <v>15</v>
      </c>
      <c r="H42" s="3" t="n">
        <v>5900</v>
      </c>
      <c r="I42" s="4" t="n">
        <v>0</v>
      </c>
      <c r="J42" s="2" t="inlineStr">
        <is>
          <t>cuenta_corriente</t>
        </is>
      </c>
      <c r="K42" s="5" t="n">
        <v>30</v>
      </c>
      <c r="L42" s="3" t="n">
        <v>88500</v>
      </c>
    </row>
    <row r="43">
      <c r="A43" s="6" t="inlineStr">
        <is>
          <t>2026-03-30</t>
        </is>
      </c>
      <c r="B43" s="2" t="inlineStr">
        <is>
          <t>FA-0002042</t>
        </is>
      </c>
      <c r="C43" s="2" t="inlineStr">
        <is>
          <t>showroom</t>
        </is>
      </c>
      <c r="D43" s="2" t="inlineStr">
        <is>
          <t>Consumidor Final</t>
        </is>
      </c>
      <c r="E43" s="2" t="inlineStr">
        <is>
          <t>REM-001</t>
        </is>
      </c>
      <c r="F43" s="2" t="inlineStr">
        <is>
          <t>Remera Algodón Básica</t>
        </is>
      </c>
      <c r="G43" s="5" t="n">
        <v>3</v>
      </c>
      <c r="H43" s="3" t="n">
        <v>12500</v>
      </c>
      <c r="I43" s="4" t="n">
        <v>0</v>
      </c>
      <c r="J43" s="2" t="inlineStr">
        <is>
          <t>mercado_pago</t>
        </is>
      </c>
      <c r="K43" s="5" t="n">
        <v>0</v>
      </c>
      <c r="L43" s="3" t="n">
        <v>37500</v>
      </c>
    </row>
    <row r="44">
      <c r="A44" s="6" t="inlineStr">
        <is>
          <t>2026-04-01</t>
        </is>
      </c>
      <c r="B44" s="2" t="inlineStr">
        <is>
          <t>FA-0002043</t>
        </is>
      </c>
      <c r="C44" s="2" t="inlineStr">
        <is>
          <t>showroom</t>
        </is>
      </c>
      <c r="D44" s="2" t="inlineStr">
        <is>
          <t>Consumidor Final</t>
        </is>
      </c>
      <c r="E44" s="2" t="inlineStr">
        <is>
          <t>REM-004</t>
        </is>
      </c>
      <c r="F44" s="2" t="inlineStr">
        <is>
          <t>Remera Oversize Vint</t>
        </is>
      </c>
      <c r="G44" s="5" t="n">
        <v>1</v>
      </c>
      <c r="H44" s="3" t="n">
        <v>17800</v>
      </c>
      <c r="I44" s="4" t="n">
        <v>0.15</v>
      </c>
      <c r="J44" s="2" t="inlineStr">
        <is>
          <t>tarjeta_credito</t>
        </is>
      </c>
      <c r="K44" s="5" t="n">
        <v>14</v>
      </c>
      <c r="L44" s="3" t="n">
        <v>15130</v>
      </c>
    </row>
    <row r="45">
      <c r="A45" s="6" t="inlineStr">
        <is>
          <t>2026-04-01</t>
        </is>
      </c>
      <c r="B45" s="2" t="inlineStr">
        <is>
          <t>FA-0002044</t>
        </is>
      </c>
      <c r="C45" s="2" t="inlineStr">
        <is>
          <t>showroom</t>
        </is>
      </c>
      <c r="D45" s="2" t="inlineStr">
        <is>
          <t>Consumidor Final</t>
        </is>
      </c>
      <c r="E45" s="2" t="inlineStr">
        <is>
          <t>REM-003</t>
        </is>
      </c>
      <c r="F45" s="2" t="inlineStr">
        <is>
          <t>Remera Estampada Urban</t>
        </is>
      </c>
      <c r="G45" s="5" t="n">
        <v>1</v>
      </c>
      <c r="H45" s="3" t="n">
        <v>15500</v>
      </c>
      <c r="I45" s="4" t="n">
        <v>0.15</v>
      </c>
      <c r="J45" s="2" t="inlineStr">
        <is>
          <t>tarjeta_credito</t>
        </is>
      </c>
      <c r="K45" s="5" t="n">
        <v>14</v>
      </c>
      <c r="L45" s="3" t="n">
        <v>13175</v>
      </c>
    </row>
    <row r="46">
      <c r="A46" s="6" t="inlineStr">
        <is>
          <t>2026-04-02</t>
        </is>
      </c>
      <c r="B46" s="2" t="inlineStr">
        <is>
          <t>FA-0002045</t>
        </is>
      </c>
      <c r="C46" s="2" t="inlineStr">
        <is>
          <t>feria</t>
        </is>
      </c>
      <c r="D46" s="2" t="inlineStr">
        <is>
          <t>Consumidor Final</t>
        </is>
      </c>
      <c r="E46" s="2" t="inlineStr">
        <is>
          <t>REM-002</t>
        </is>
      </c>
      <c r="F46" s="2" t="inlineStr">
        <is>
          <t>Remera Algodón Básica</t>
        </is>
      </c>
      <c r="G46" s="5" t="n">
        <v>3</v>
      </c>
      <c r="H46" s="3" t="n">
        <v>12500</v>
      </c>
      <c r="I46" s="4" t="n">
        <v>0.15</v>
      </c>
      <c r="J46" s="2" t="inlineStr">
        <is>
          <t>tarjeta_credito</t>
        </is>
      </c>
      <c r="K46" s="5" t="n">
        <v>14</v>
      </c>
      <c r="L46" s="3" t="n">
        <v>31875</v>
      </c>
    </row>
    <row r="47">
      <c r="A47" s="6" t="inlineStr">
        <is>
          <t>2026-04-02</t>
        </is>
      </c>
      <c r="B47" s="2" t="inlineStr">
        <is>
          <t>FA-0002046</t>
        </is>
      </c>
      <c r="C47" s="2" t="inlineStr">
        <is>
          <t>showroom</t>
        </is>
      </c>
      <c r="D47" s="2" t="inlineStr">
        <is>
          <t>Consumidor Final</t>
        </is>
      </c>
      <c r="E47" s="2" t="inlineStr">
        <is>
          <t>CAL-002</t>
        </is>
      </c>
      <c r="F47" s="2" t="inlineStr">
        <is>
          <t>Calza Short Deportiva</t>
        </is>
      </c>
      <c r="G47" s="5" t="n">
        <v>1</v>
      </c>
      <c r="H47" s="3" t="n">
        <v>18500</v>
      </c>
      <c r="I47" s="4" t="n">
        <v>0.15</v>
      </c>
      <c r="J47" s="2" t="inlineStr">
        <is>
          <t>tarjeta_credito</t>
        </is>
      </c>
      <c r="K47" s="5" t="n">
        <v>14</v>
      </c>
      <c r="L47" s="3" t="n">
        <v>15725</v>
      </c>
    </row>
    <row r="48">
      <c r="A48" s="6" t="inlineStr">
        <is>
          <t>2026-04-03</t>
        </is>
      </c>
      <c r="B48" s="2" t="inlineStr">
        <is>
          <t>FA-0002047</t>
        </is>
      </c>
      <c r="C48" s="2" t="inlineStr">
        <is>
          <t>feria</t>
        </is>
      </c>
      <c r="D48" s="2" t="inlineStr">
        <is>
          <t>Consumidor Final</t>
        </is>
      </c>
      <c r="E48" s="2" t="inlineStr">
        <is>
          <t>PAN-001</t>
        </is>
      </c>
      <c r="F48" s="2" t="inlineStr">
        <is>
          <t>Pantalón Jean Chupín</t>
        </is>
      </c>
      <c r="G48" s="5" t="n">
        <v>1</v>
      </c>
      <c r="H48" s="3" t="n">
        <v>44000</v>
      </c>
      <c r="I48" s="4" t="n">
        <v>0.15</v>
      </c>
      <c r="J48" s="2" t="inlineStr">
        <is>
          <t>tarjeta_credito</t>
        </is>
      </c>
      <c r="K48" s="5" t="n">
        <v>14</v>
      </c>
      <c r="L48" s="3" t="n">
        <v>37400</v>
      </c>
    </row>
    <row r="49">
      <c r="A49" s="6" t="inlineStr">
        <is>
          <t>2026-04-03</t>
        </is>
      </c>
      <c r="B49" s="2" t="inlineStr">
        <is>
          <t>FA-0002048</t>
        </is>
      </c>
      <c r="C49" s="2" t="inlineStr">
        <is>
          <t>online</t>
        </is>
      </c>
      <c r="D49" s="2" t="inlineStr">
        <is>
          <t>Consumidor Final</t>
        </is>
      </c>
      <c r="E49" s="2" t="inlineStr">
        <is>
          <t>BUZ-001</t>
        </is>
      </c>
      <c r="F49" s="2" t="inlineStr">
        <is>
          <t>Buzo Canguro con Frisa</t>
        </is>
      </c>
      <c r="G49" s="5" t="n">
        <v>3</v>
      </c>
      <c r="H49" s="3" t="n">
        <v>34000</v>
      </c>
      <c r="I49" s="4" t="n">
        <v>0.15</v>
      </c>
      <c r="J49" s="2" t="inlineStr">
        <is>
          <t>tarjeta_credito</t>
        </is>
      </c>
      <c r="K49" s="5" t="n">
        <v>14</v>
      </c>
      <c r="L49" s="3" t="n">
        <v>86700</v>
      </c>
    </row>
    <row r="50">
      <c r="A50" s="6" t="inlineStr">
        <is>
          <t>2026-04-04</t>
        </is>
      </c>
      <c r="B50" s="2" t="inlineStr">
        <is>
          <t>FA-0002049</t>
        </is>
      </c>
      <c r="C50" s="2" t="inlineStr">
        <is>
          <t>online</t>
        </is>
      </c>
      <c r="D50" s="2" t="inlineStr">
        <is>
          <t>Consumidor Final</t>
        </is>
      </c>
      <c r="E50" s="2" t="inlineStr">
        <is>
          <t>REM-004</t>
        </is>
      </c>
      <c r="F50" s="2" t="inlineStr">
        <is>
          <t>Remera Oversize Vint</t>
        </is>
      </c>
      <c r="G50" s="5" t="n">
        <v>3</v>
      </c>
      <c r="H50" s="3" t="n">
        <v>17800</v>
      </c>
      <c r="I50" s="4" t="n">
        <v>0.15</v>
      </c>
      <c r="J50" s="2" t="inlineStr">
        <is>
          <t>tarjeta_credito</t>
        </is>
      </c>
      <c r="K50" s="5" t="n">
        <v>14</v>
      </c>
      <c r="L50" s="3" t="n">
        <v>45390</v>
      </c>
    </row>
    <row r="51">
      <c r="A51" s="6" t="inlineStr">
        <is>
          <t>2026-04-04</t>
        </is>
      </c>
      <c r="B51" s="2" t="inlineStr">
        <is>
          <t>FA-0002050</t>
        </is>
      </c>
      <c r="C51" s="2" t="inlineStr">
        <is>
          <t>online</t>
        </is>
      </c>
      <c r="D51" s="2" t="inlineStr">
        <is>
          <t>Consumidor Final</t>
        </is>
      </c>
      <c r="E51" s="2" t="inlineStr">
        <is>
          <t>CAM-001</t>
        </is>
      </c>
      <c r="F51" s="2" t="inlineStr">
        <is>
          <t>Campera Trucker Impermeable</t>
        </is>
      </c>
      <c r="G51" s="5" t="n">
        <v>2</v>
      </c>
      <c r="H51" s="3" t="n">
        <v>69000</v>
      </c>
      <c r="I51" s="4" t="n">
        <v>0.15</v>
      </c>
      <c r="J51" s="2" t="inlineStr">
        <is>
          <t>tarjeta_credito</t>
        </is>
      </c>
      <c r="K51" s="5" t="n">
        <v>14</v>
      </c>
      <c r="L51" s="3" t="n">
        <v>117300</v>
      </c>
    </row>
    <row r="52">
      <c r="A52" s="6" t="inlineStr">
        <is>
          <t>2026-04-05</t>
        </is>
      </c>
      <c r="B52" s="2" t="inlineStr">
        <is>
          <t>FA-0002051</t>
        </is>
      </c>
      <c r="C52" s="2" t="inlineStr">
        <is>
          <t>mayorista</t>
        </is>
      </c>
      <c r="D52" s="2" t="inlineStr">
        <is>
          <t>Distribuidora Centro</t>
        </is>
      </c>
      <c r="E52" s="2" t="inlineStr">
        <is>
          <t>PAN-001</t>
        </is>
      </c>
      <c r="F52" s="2" t="inlineStr">
        <is>
          <t>Pantalón Jean Chupín</t>
        </is>
      </c>
      <c r="G52" s="5" t="n">
        <v>35</v>
      </c>
      <c r="H52" s="3" t="n">
        <v>28000</v>
      </c>
      <c r="I52" s="4" t="n">
        <v>0.3</v>
      </c>
      <c r="J52" s="2" t="inlineStr">
        <is>
          <t>cuenta_corriente</t>
        </is>
      </c>
      <c r="K52" s="5" t="n">
        <v>30</v>
      </c>
      <c r="L52" s="3" t="n">
        <v>686000</v>
      </c>
    </row>
    <row r="53">
      <c r="A53" s="6" t="inlineStr">
        <is>
          <t>2026-04-05</t>
        </is>
      </c>
      <c r="B53" s="2" t="inlineStr">
        <is>
          <t>FA-0002052</t>
        </is>
      </c>
      <c r="C53" s="2" t="inlineStr">
        <is>
          <t>mayorista</t>
        </is>
      </c>
      <c r="D53" s="2" t="inlineStr">
        <is>
          <t>Locales Unificados S.A.</t>
        </is>
      </c>
      <c r="E53" s="2" t="inlineStr">
        <is>
          <t>REM-002</t>
        </is>
      </c>
      <c r="F53" s="2" t="inlineStr">
        <is>
          <t>Remera Algodón Básica</t>
        </is>
      </c>
      <c r="G53" s="5" t="n">
        <v>40</v>
      </c>
      <c r="H53" s="3" t="n">
        <v>8200</v>
      </c>
      <c r="I53" s="4" t="n">
        <v>0.25</v>
      </c>
      <c r="J53" s="2" t="inlineStr">
        <is>
          <t>cuenta_corriente</t>
        </is>
      </c>
      <c r="K53" s="5" t="n">
        <v>45</v>
      </c>
      <c r="L53" s="3" t="n">
        <v>246000</v>
      </c>
    </row>
    <row r="54">
      <c r="A54" s="6" t="inlineStr">
        <is>
          <t>2026-04-05</t>
        </is>
      </c>
      <c r="B54" s="2" t="inlineStr">
        <is>
          <t>FA-0002053</t>
        </is>
      </c>
      <c r="C54" s="2" t="inlineStr">
        <is>
          <t>showroom</t>
        </is>
      </c>
      <c r="D54" s="2" t="inlineStr">
        <is>
          <t>Consumidor Final</t>
        </is>
      </c>
      <c r="E54" s="2" t="inlineStr">
        <is>
          <t>ACC-001</t>
        </is>
      </c>
      <c r="F54" s="2" t="inlineStr">
        <is>
          <t>Gorra Trucker Urbana</t>
        </is>
      </c>
      <c r="G54" s="5" t="n">
        <v>1</v>
      </c>
      <c r="H54" s="3" t="n">
        <v>11000</v>
      </c>
      <c r="I54" s="4" t="n">
        <v>0.15</v>
      </c>
      <c r="J54" s="2" t="inlineStr">
        <is>
          <t>tarjeta_credito</t>
        </is>
      </c>
      <c r="K54" s="5" t="n">
        <v>14</v>
      </c>
      <c r="L54" s="3" t="n">
        <v>9350</v>
      </c>
    </row>
    <row r="55">
      <c r="A55" s="6" t="inlineStr">
        <is>
          <t>2026-04-05</t>
        </is>
      </c>
      <c r="B55" s="2" t="inlineStr">
        <is>
          <t>FA-0002054</t>
        </is>
      </c>
      <c r="C55" s="2" t="inlineStr">
        <is>
          <t>online</t>
        </is>
      </c>
      <c r="D55" s="2" t="inlineStr">
        <is>
          <t>Consumidor Final</t>
        </is>
      </c>
      <c r="E55" s="2" t="inlineStr">
        <is>
          <t>REM-004</t>
        </is>
      </c>
      <c r="F55" s="2" t="inlineStr">
        <is>
          <t>Remera Oversize Vint</t>
        </is>
      </c>
      <c r="G55" s="5" t="n">
        <v>2</v>
      </c>
      <c r="H55" s="3" t="n">
        <v>17800</v>
      </c>
      <c r="I55" s="4" t="n">
        <v>0.15</v>
      </c>
      <c r="J55" s="2" t="inlineStr">
        <is>
          <t>tarjeta_credito</t>
        </is>
      </c>
      <c r="K55" s="5" t="n">
        <v>14</v>
      </c>
      <c r="L55" s="3" t="n">
        <v>30260</v>
      </c>
    </row>
    <row r="56">
      <c r="A56" s="6" t="inlineStr">
        <is>
          <t>2026-04-06</t>
        </is>
      </c>
      <c r="B56" s="2" t="inlineStr">
        <is>
          <t>FA-0002055</t>
        </is>
      </c>
      <c r="C56" s="2" t="inlineStr">
        <is>
          <t>feria</t>
        </is>
      </c>
      <c r="D56" s="2" t="inlineStr">
        <is>
          <t>Consumidor Final</t>
        </is>
      </c>
      <c r="E56" s="2" t="inlineStr">
        <is>
          <t>CAL-002</t>
        </is>
      </c>
      <c r="F56" s="2" t="inlineStr">
        <is>
          <t>Calza Short Deportiva</t>
        </is>
      </c>
      <c r="G56" s="5" t="n">
        <v>3</v>
      </c>
      <c r="H56" s="3" t="n">
        <v>18500</v>
      </c>
      <c r="I56" s="4" t="n">
        <v>0.15</v>
      </c>
      <c r="J56" s="2" t="inlineStr">
        <is>
          <t>tarjeta_credito</t>
        </is>
      </c>
      <c r="K56" s="5" t="n">
        <v>14</v>
      </c>
      <c r="L56" s="3" t="n">
        <v>47175</v>
      </c>
    </row>
    <row r="57">
      <c r="A57" s="6" t="inlineStr">
        <is>
          <t>2026-04-06</t>
        </is>
      </c>
      <c r="B57" s="2" t="inlineStr">
        <is>
          <t>FA-0002056</t>
        </is>
      </c>
      <c r="C57" s="2" t="inlineStr">
        <is>
          <t>showroom</t>
        </is>
      </c>
      <c r="D57" s="2" t="inlineStr">
        <is>
          <t>Consumidor Final</t>
        </is>
      </c>
      <c r="E57" s="2" t="inlineStr">
        <is>
          <t>PAN-002</t>
        </is>
      </c>
      <c r="F57" s="2" t="inlineStr">
        <is>
          <t>Pantalón Jean Recto</t>
        </is>
      </c>
      <c r="G57" s="5" t="n">
        <v>1</v>
      </c>
      <c r="H57" s="3" t="n">
        <v>44000</v>
      </c>
      <c r="I57" s="4" t="n">
        <v>0.15</v>
      </c>
      <c r="J57" s="2" t="inlineStr">
        <is>
          <t>tarjeta_credito</t>
        </is>
      </c>
      <c r="K57" s="5" t="n">
        <v>14</v>
      </c>
      <c r="L57" s="3" t="n">
        <v>37400</v>
      </c>
    </row>
    <row r="58">
      <c r="A58" s="6" t="inlineStr">
        <is>
          <t>2026-04-07</t>
        </is>
      </c>
      <c r="B58" s="2" t="inlineStr">
        <is>
          <t>FA-0002057</t>
        </is>
      </c>
      <c r="C58" s="2" t="inlineStr">
        <is>
          <t>online</t>
        </is>
      </c>
      <c r="D58" s="2" t="inlineStr">
        <is>
          <t>Consumidor Final</t>
        </is>
      </c>
      <c r="E58" s="2" t="inlineStr">
        <is>
          <t>ACC-003</t>
        </is>
      </c>
      <c r="F58" s="2" t="inlineStr">
        <is>
          <t>Mochila Urbana Porta Notebook</t>
        </is>
      </c>
      <c r="G58" s="5" t="n">
        <v>3</v>
      </c>
      <c r="H58" s="3" t="n">
        <v>52000</v>
      </c>
      <c r="I58" s="4" t="n">
        <v>0.15</v>
      </c>
      <c r="J58" s="2" t="inlineStr">
        <is>
          <t>tarjeta_credito</t>
        </is>
      </c>
      <c r="K58" s="5" t="n">
        <v>14</v>
      </c>
      <c r="L58" s="3" t="n">
        <v>132600</v>
      </c>
    </row>
    <row r="59">
      <c r="A59" s="6" t="inlineStr">
        <is>
          <t>2026-04-07</t>
        </is>
      </c>
      <c r="B59" s="2" t="inlineStr">
        <is>
          <t>FA-0002058</t>
        </is>
      </c>
      <c r="C59" s="2" t="inlineStr">
        <is>
          <t>showroom</t>
        </is>
      </c>
      <c r="D59" s="2" t="inlineStr">
        <is>
          <t>Consumidor Final</t>
        </is>
      </c>
      <c r="E59" s="2" t="inlineStr">
        <is>
          <t>CAM-001</t>
        </is>
      </c>
      <c r="F59" s="2" t="inlineStr">
        <is>
          <t>Campera Trucker Impermeable</t>
        </is>
      </c>
      <c r="G59" s="5" t="n">
        <v>2</v>
      </c>
      <c r="H59" s="3" t="n">
        <v>69000</v>
      </c>
      <c r="I59" s="4" t="n">
        <v>0.15</v>
      </c>
      <c r="J59" s="2" t="inlineStr">
        <is>
          <t>tarjeta_credito</t>
        </is>
      </c>
      <c r="K59" s="5" t="n">
        <v>14</v>
      </c>
      <c r="L59" s="3" t="n">
        <v>117300</v>
      </c>
    </row>
    <row r="60">
      <c r="A60" s="6" t="inlineStr">
        <is>
          <t>2026-04-08</t>
        </is>
      </c>
      <c r="B60" s="2" t="inlineStr">
        <is>
          <t>FA-0002059</t>
        </is>
      </c>
      <c r="C60" s="2" t="inlineStr">
        <is>
          <t>online</t>
        </is>
      </c>
      <c r="D60" s="2" t="inlineStr">
        <is>
          <t>Consumidor Final</t>
        </is>
      </c>
      <c r="E60" s="2" t="inlineStr">
        <is>
          <t>TOP-001</t>
        </is>
      </c>
      <c r="F60" s="2" t="inlineStr">
        <is>
          <t>Top Deportivo Suplex</t>
        </is>
      </c>
      <c r="G60" s="5" t="n">
        <v>2</v>
      </c>
      <c r="H60" s="3" t="n">
        <v>14900</v>
      </c>
      <c r="I60" s="4" t="n">
        <v>0.15</v>
      </c>
      <c r="J60" s="2" t="inlineStr">
        <is>
          <t>tarjeta_credito</t>
        </is>
      </c>
      <c r="K60" s="5" t="n">
        <v>14</v>
      </c>
      <c r="L60" s="3" t="n">
        <v>25330</v>
      </c>
    </row>
    <row r="61">
      <c r="A61" s="6" t="inlineStr">
        <is>
          <t>2026-04-08</t>
        </is>
      </c>
      <c r="B61" s="2" t="inlineStr">
        <is>
          <t>FA-0002060</t>
        </is>
      </c>
      <c r="C61" s="2" t="inlineStr">
        <is>
          <t>feria</t>
        </is>
      </c>
      <c r="D61" s="2" t="inlineStr">
        <is>
          <t>Consumidor Final</t>
        </is>
      </c>
      <c r="E61" s="2" t="inlineStr">
        <is>
          <t>TOP-001</t>
        </is>
      </c>
      <c r="F61" s="2" t="inlineStr">
        <is>
          <t>Top Deportivo Suplex</t>
        </is>
      </c>
      <c r="G61" s="5" t="n">
        <v>2</v>
      </c>
      <c r="H61" s="3" t="n">
        <v>14900</v>
      </c>
      <c r="I61" s="4" t="n">
        <v>0.15</v>
      </c>
      <c r="J61" s="2" t="inlineStr">
        <is>
          <t>tarjeta_credito</t>
        </is>
      </c>
      <c r="K61" s="5" t="n">
        <v>14</v>
      </c>
      <c r="L61" s="3" t="n">
        <v>25330</v>
      </c>
    </row>
    <row r="62">
      <c r="A62" s="6" t="inlineStr">
        <is>
          <t>2026-04-09</t>
        </is>
      </c>
      <c r="B62" s="2" t="inlineStr">
        <is>
          <t>FA-0002061</t>
        </is>
      </c>
      <c r="C62" s="2" t="inlineStr">
        <is>
          <t>showroom</t>
        </is>
      </c>
      <c r="D62" s="2" t="inlineStr">
        <is>
          <t>Consumidor Final</t>
        </is>
      </c>
      <c r="E62" s="2" t="inlineStr">
        <is>
          <t>ACC-003</t>
        </is>
      </c>
      <c r="F62" s="2" t="inlineStr">
        <is>
          <t>Mochila Urbana Porta Notebook</t>
        </is>
      </c>
      <c r="G62" s="5" t="n">
        <v>3</v>
      </c>
      <c r="H62" s="3" t="n">
        <v>52000</v>
      </c>
      <c r="I62" s="4" t="n">
        <v>0.15</v>
      </c>
      <c r="J62" s="2" t="inlineStr">
        <is>
          <t>tarjeta_credito</t>
        </is>
      </c>
      <c r="K62" s="5" t="n">
        <v>14</v>
      </c>
      <c r="L62" s="3" t="n">
        <v>132600</v>
      </c>
    </row>
    <row r="63">
      <c r="A63" s="6" t="inlineStr">
        <is>
          <t>2026-04-09</t>
        </is>
      </c>
      <c r="B63" s="2" t="inlineStr">
        <is>
          <t>FA-0002062</t>
        </is>
      </c>
      <c r="C63" s="2" t="inlineStr">
        <is>
          <t>online</t>
        </is>
      </c>
      <c r="D63" s="2" t="inlineStr">
        <is>
          <t>Consumidor Final</t>
        </is>
      </c>
      <c r="E63" s="2" t="inlineStr">
        <is>
          <t>CAM-002</t>
        </is>
      </c>
      <c r="F63" s="2" t="inlineStr">
        <is>
          <t>Campera de Abrigo Invierno</t>
        </is>
      </c>
      <c r="G63" s="5" t="n">
        <v>1</v>
      </c>
      <c r="H63" s="3" t="n">
        <v>88000</v>
      </c>
      <c r="I63" s="4" t="n">
        <v>0.25</v>
      </c>
      <c r="J63" s="2" t="inlineStr">
        <is>
          <t>tarjeta_credito</t>
        </is>
      </c>
      <c r="K63" s="5" t="n">
        <v>14</v>
      </c>
      <c r="L63" s="3" t="n">
        <v>66000</v>
      </c>
    </row>
    <row r="64">
      <c r="A64" s="6" t="inlineStr">
        <is>
          <t>2026-04-10</t>
        </is>
      </c>
      <c r="B64" s="2" t="inlineStr">
        <is>
          <t>FA-0002063</t>
        </is>
      </c>
      <c r="C64" s="2" t="inlineStr">
        <is>
          <t>online</t>
        </is>
      </c>
      <c r="D64" s="2" t="inlineStr">
        <is>
          <t>Consumidor Final</t>
        </is>
      </c>
      <c r="E64" s="2" t="inlineStr">
        <is>
          <t>BUZ-002</t>
        </is>
      </c>
      <c r="F64" s="2" t="inlineStr">
        <is>
          <t>Buzo Canguro con Frisa</t>
        </is>
      </c>
      <c r="G64" s="5" t="n">
        <v>3</v>
      </c>
      <c r="H64" s="3" t="n">
        <v>34000</v>
      </c>
      <c r="I64" s="4" t="n">
        <v>0.15</v>
      </c>
      <c r="J64" s="2" t="inlineStr">
        <is>
          <t>tarjeta_credito</t>
        </is>
      </c>
      <c r="K64" s="5" t="n">
        <v>14</v>
      </c>
      <c r="L64" s="3" t="n">
        <v>86700</v>
      </c>
    </row>
    <row r="65">
      <c r="A65" s="6" t="inlineStr">
        <is>
          <t>2026-04-10</t>
        </is>
      </c>
      <c r="B65" s="2" t="inlineStr">
        <is>
          <t>FA-0002064</t>
        </is>
      </c>
      <c r="C65" s="2" t="inlineStr">
        <is>
          <t>online</t>
        </is>
      </c>
      <c r="D65" s="2" t="inlineStr">
        <is>
          <t>Consumidor Final</t>
        </is>
      </c>
      <c r="E65" s="2" t="inlineStr">
        <is>
          <t>TOP-001</t>
        </is>
      </c>
      <c r="F65" s="2" t="inlineStr">
        <is>
          <t>Top Deportivo Suplex</t>
        </is>
      </c>
      <c r="G65" s="5" t="n">
        <v>3</v>
      </c>
      <c r="H65" s="3" t="n">
        <v>14900</v>
      </c>
      <c r="I65" s="4" t="n">
        <v>0.15</v>
      </c>
      <c r="J65" s="2" t="inlineStr">
        <is>
          <t>tarjeta_credito</t>
        </is>
      </c>
      <c r="K65" s="5" t="n">
        <v>14</v>
      </c>
      <c r="L65" s="3" t="n">
        <v>37995</v>
      </c>
    </row>
    <row r="66">
      <c r="A66" s="6" t="inlineStr">
        <is>
          <t>2026-04-11</t>
        </is>
      </c>
      <c r="B66" s="2" t="inlineStr">
        <is>
          <t>FA-0002065</t>
        </is>
      </c>
      <c r="C66" s="2" t="inlineStr">
        <is>
          <t>feria</t>
        </is>
      </c>
      <c r="D66" s="2" t="inlineStr">
        <is>
          <t>Consumidor Final</t>
        </is>
      </c>
      <c r="E66" s="2" t="inlineStr">
        <is>
          <t>PAN-001</t>
        </is>
      </c>
      <c r="F66" s="2" t="inlineStr">
        <is>
          <t>Pantalón Jean Chupín</t>
        </is>
      </c>
      <c r="G66" s="5" t="n">
        <v>1</v>
      </c>
      <c r="H66" s="3" t="n">
        <v>44000</v>
      </c>
      <c r="I66" s="4" t="n">
        <v>0.15</v>
      </c>
      <c r="J66" s="2" t="inlineStr">
        <is>
          <t>tarjeta_credito</t>
        </is>
      </c>
      <c r="K66" s="5" t="n">
        <v>14</v>
      </c>
      <c r="L66" s="3" t="n">
        <v>37400</v>
      </c>
    </row>
    <row r="67">
      <c r="A67" s="6" t="inlineStr">
        <is>
          <t>2026-04-11</t>
        </is>
      </c>
      <c r="B67" s="2" t="inlineStr">
        <is>
          <t>FA-0002066</t>
        </is>
      </c>
      <c r="C67" s="2" t="inlineStr">
        <is>
          <t>online</t>
        </is>
      </c>
      <c r="D67" s="2" t="inlineStr">
        <is>
          <t>Consumidor Final</t>
        </is>
      </c>
      <c r="E67" s="2" t="inlineStr">
        <is>
          <t>CAM-002</t>
        </is>
      </c>
      <c r="F67" s="2" t="inlineStr">
        <is>
          <t>Campera de Abrigo Invierno</t>
        </is>
      </c>
      <c r="G67" s="5" t="n">
        <v>1</v>
      </c>
      <c r="H67" s="3" t="n">
        <v>88000</v>
      </c>
      <c r="I67" s="4" t="n">
        <v>0.25</v>
      </c>
      <c r="J67" s="2" t="inlineStr">
        <is>
          <t>tarjeta_credito</t>
        </is>
      </c>
      <c r="K67" s="5" t="n">
        <v>14</v>
      </c>
      <c r="L67" s="3" t="n">
        <v>66000</v>
      </c>
    </row>
    <row r="68">
      <c r="A68" s="6" t="inlineStr">
        <is>
          <t>2026-04-12</t>
        </is>
      </c>
      <c r="B68" s="2" t="inlineStr">
        <is>
          <t>FA-0002067</t>
        </is>
      </c>
      <c r="C68" s="2" t="inlineStr">
        <is>
          <t>mayorista</t>
        </is>
      </c>
      <c r="D68" s="2" t="inlineStr">
        <is>
          <t>Distribuidora Centro</t>
        </is>
      </c>
      <c r="E68" s="2" t="inlineStr">
        <is>
          <t>REM-001</t>
        </is>
      </c>
      <c r="F68" s="2" t="inlineStr">
        <is>
          <t>Remera Algodón Básica</t>
        </is>
      </c>
      <c r="G68" s="5" t="n">
        <v>35</v>
      </c>
      <c r="H68" s="3" t="n">
        <v>8200</v>
      </c>
      <c r="I68" s="4" t="n">
        <v>0.3</v>
      </c>
      <c r="J68" s="2" t="inlineStr">
        <is>
          <t>cuenta_corriente</t>
        </is>
      </c>
      <c r="K68" s="5" t="n">
        <v>30</v>
      </c>
      <c r="L68" s="3" t="n">
        <v>200900</v>
      </c>
    </row>
    <row r="69">
      <c r="A69" s="6" t="inlineStr">
        <is>
          <t>2026-04-12</t>
        </is>
      </c>
      <c r="B69" s="2" t="inlineStr">
        <is>
          <t>FA-0002068</t>
        </is>
      </c>
      <c r="C69" s="2" t="inlineStr">
        <is>
          <t>mayorista</t>
        </is>
      </c>
      <c r="D69" s="2" t="inlineStr">
        <is>
          <t>Locales Unificados S.A.</t>
        </is>
      </c>
      <c r="E69" s="2" t="inlineStr">
        <is>
          <t>CAL-001</t>
        </is>
      </c>
      <c r="F69" s="2" t="inlineStr">
        <is>
          <t>Calza Deportiva Alta Cintura</t>
        </is>
      </c>
      <c r="G69" s="5" t="n">
        <v>40</v>
      </c>
      <c r="H69" s="3" t="n">
        <v>14500</v>
      </c>
      <c r="I69" s="4" t="n">
        <v>0.25</v>
      </c>
      <c r="J69" s="2" t="inlineStr">
        <is>
          <t>cuenta_corriente</t>
        </is>
      </c>
      <c r="K69" s="5" t="n">
        <v>45</v>
      </c>
      <c r="L69" s="3" t="n">
        <v>435000</v>
      </c>
    </row>
    <row r="70">
      <c r="A70" s="6" t="inlineStr">
        <is>
          <t>2026-04-12</t>
        </is>
      </c>
      <c r="B70" s="2" t="inlineStr">
        <is>
          <t>FA-0002069</t>
        </is>
      </c>
      <c r="C70" s="2" t="inlineStr">
        <is>
          <t>online</t>
        </is>
      </c>
      <c r="D70" s="2" t="inlineStr">
        <is>
          <t>Consumidor Final</t>
        </is>
      </c>
      <c r="E70" s="2" t="inlineStr">
        <is>
          <t>CAM-003</t>
        </is>
      </c>
      <c r="F70" s="2" t="inlineStr">
        <is>
          <t>Campera Rompevientos Light</t>
        </is>
      </c>
      <c r="G70" s="5" t="n">
        <v>3</v>
      </c>
      <c r="H70" s="3" t="n">
        <v>42000</v>
      </c>
      <c r="I70" s="4" t="n">
        <v>0.15</v>
      </c>
      <c r="J70" s="2" t="inlineStr">
        <is>
          <t>tarjeta_credito</t>
        </is>
      </c>
      <c r="K70" s="5" t="n">
        <v>14</v>
      </c>
      <c r="L70" s="3" t="n">
        <v>107100</v>
      </c>
    </row>
    <row r="71">
      <c r="A71" s="6" t="inlineStr">
        <is>
          <t>2026-04-12</t>
        </is>
      </c>
      <c r="B71" s="2" t="inlineStr">
        <is>
          <t>FA-0002070</t>
        </is>
      </c>
      <c r="C71" s="2" t="inlineStr">
        <is>
          <t>showroom</t>
        </is>
      </c>
      <c r="D71" s="2" t="inlineStr">
        <is>
          <t>Consumidor Final</t>
        </is>
      </c>
      <c r="E71" s="2" t="inlineStr">
        <is>
          <t>CAL-002</t>
        </is>
      </c>
      <c r="F71" s="2" t="inlineStr">
        <is>
          <t>Calza Short Deportiva</t>
        </is>
      </c>
      <c r="G71" s="5" t="n">
        <v>3</v>
      </c>
      <c r="H71" s="3" t="n">
        <v>18500</v>
      </c>
      <c r="I71" s="4" t="n">
        <v>0.15</v>
      </c>
      <c r="J71" s="2" t="inlineStr">
        <is>
          <t>tarjeta_credito</t>
        </is>
      </c>
      <c r="K71" s="5" t="n">
        <v>14</v>
      </c>
      <c r="L71" s="3" t="n">
        <v>47175</v>
      </c>
    </row>
    <row r="72">
      <c r="A72" s="6" t="inlineStr">
        <is>
          <t>2026-04-13</t>
        </is>
      </c>
      <c r="B72" s="2" t="inlineStr">
        <is>
          <t>FA-0002071</t>
        </is>
      </c>
      <c r="C72" s="2" t="inlineStr">
        <is>
          <t>feria</t>
        </is>
      </c>
      <c r="D72" s="2" t="inlineStr">
        <is>
          <t>Consumidor Final</t>
        </is>
      </c>
      <c r="E72" s="2" t="inlineStr">
        <is>
          <t>BUZ-003</t>
        </is>
      </c>
      <c r="F72" s="2" t="inlineStr">
        <is>
          <t>Buzo Cuello Redondo Premium</t>
        </is>
      </c>
      <c r="G72" s="5" t="n">
        <v>1</v>
      </c>
      <c r="H72" s="3" t="n">
        <v>38500</v>
      </c>
      <c r="I72" s="4" t="n">
        <v>0.15</v>
      </c>
      <c r="J72" s="2" t="inlineStr">
        <is>
          <t>tarjeta_credito</t>
        </is>
      </c>
      <c r="K72" s="5" t="n">
        <v>14</v>
      </c>
      <c r="L72" s="3" t="n">
        <v>32725</v>
      </c>
    </row>
    <row r="73">
      <c r="A73" s="6" t="inlineStr">
        <is>
          <t>2026-04-13</t>
        </is>
      </c>
      <c r="B73" s="2" t="inlineStr">
        <is>
          <t>FA-0002072</t>
        </is>
      </c>
      <c r="C73" s="2" t="inlineStr">
        <is>
          <t>feria</t>
        </is>
      </c>
      <c r="D73" s="2" t="inlineStr">
        <is>
          <t>Consumidor Final</t>
        </is>
      </c>
      <c r="E73" s="2" t="inlineStr">
        <is>
          <t>TOP-002</t>
        </is>
      </c>
      <c r="F73" s="2" t="inlineStr">
        <is>
          <t>Top Fitness Seamless</t>
        </is>
      </c>
      <c r="G73" s="5" t="n">
        <v>2</v>
      </c>
      <c r="H73" s="3" t="n">
        <v>16500</v>
      </c>
      <c r="I73" s="4" t="n">
        <v>0.15</v>
      </c>
      <c r="J73" s="2" t="inlineStr">
        <is>
          <t>tarjeta_credito</t>
        </is>
      </c>
      <c r="K73" s="5" t="n">
        <v>14</v>
      </c>
      <c r="L73" s="3" t="n">
        <v>28050</v>
      </c>
    </row>
    <row r="74">
      <c r="A74" s="6" t="inlineStr">
        <is>
          <t>2026-04-14</t>
        </is>
      </c>
      <c r="B74" s="2" t="inlineStr">
        <is>
          <t>FA-0002073</t>
        </is>
      </c>
      <c r="C74" s="2" t="inlineStr">
        <is>
          <t>feria</t>
        </is>
      </c>
      <c r="D74" s="2" t="inlineStr">
        <is>
          <t>Consumidor Final</t>
        </is>
      </c>
      <c r="E74" s="2" t="inlineStr">
        <is>
          <t>ACC-001</t>
        </is>
      </c>
      <c r="F74" s="2" t="inlineStr">
        <is>
          <t>Gorra Trucker Urbana</t>
        </is>
      </c>
      <c r="G74" s="5" t="n">
        <v>3</v>
      </c>
      <c r="H74" s="3" t="n">
        <v>11000</v>
      </c>
      <c r="I74" s="4" t="n">
        <v>0.15</v>
      </c>
      <c r="J74" s="2" t="inlineStr">
        <is>
          <t>tarjeta_credito</t>
        </is>
      </c>
      <c r="K74" s="5" t="n">
        <v>14</v>
      </c>
      <c r="L74" s="3" t="n">
        <v>28050</v>
      </c>
    </row>
    <row r="75">
      <c r="A75" s="6" t="inlineStr">
        <is>
          <t>2026-04-14</t>
        </is>
      </c>
      <c r="B75" s="2" t="inlineStr">
        <is>
          <t>FA-0002074</t>
        </is>
      </c>
      <c r="C75" s="2" t="inlineStr">
        <is>
          <t>feria</t>
        </is>
      </c>
      <c r="D75" s="2" t="inlineStr">
        <is>
          <t>Consumidor Final</t>
        </is>
      </c>
      <c r="E75" s="2" t="inlineStr">
        <is>
          <t>TOP-001</t>
        </is>
      </c>
      <c r="F75" s="2" t="inlineStr">
        <is>
          <t>Top Deportivo Suplex</t>
        </is>
      </c>
      <c r="G75" s="5" t="n">
        <v>3</v>
      </c>
      <c r="H75" s="3" t="n">
        <v>14900</v>
      </c>
      <c r="I75" s="4" t="n">
        <v>0.15</v>
      </c>
      <c r="J75" s="2" t="inlineStr">
        <is>
          <t>tarjeta_credito</t>
        </is>
      </c>
      <c r="K75" s="5" t="n">
        <v>14</v>
      </c>
      <c r="L75" s="3" t="n">
        <v>37995</v>
      </c>
    </row>
    <row r="76">
      <c r="A76" s="6" t="inlineStr">
        <is>
          <t>2026-04-15</t>
        </is>
      </c>
      <c r="B76" s="2" t="inlineStr">
        <is>
          <t>FA-0002075</t>
        </is>
      </c>
      <c r="C76" s="2" t="inlineStr">
        <is>
          <t>showroom</t>
        </is>
      </c>
      <c r="D76" s="2" t="inlineStr">
        <is>
          <t>Consumidor Final</t>
        </is>
      </c>
      <c r="E76" s="2" t="inlineStr">
        <is>
          <t>REM-002</t>
        </is>
      </c>
      <c r="F76" s="2" t="inlineStr">
        <is>
          <t>Remera Algodón Básica</t>
        </is>
      </c>
      <c r="G76" s="5" t="n">
        <v>1</v>
      </c>
      <c r="H76" s="3" t="n">
        <v>12500</v>
      </c>
      <c r="I76" s="4" t="n">
        <v>0.15</v>
      </c>
      <c r="J76" s="2" t="inlineStr">
        <is>
          <t>tarjeta_credito</t>
        </is>
      </c>
      <c r="K76" s="5" t="n">
        <v>14</v>
      </c>
      <c r="L76" s="3" t="n">
        <v>10625</v>
      </c>
    </row>
    <row r="77">
      <c r="A77" s="6" t="inlineStr">
        <is>
          <t>2026-04-15</t>
        </is>
      </c>
      <c r="B77" s="2" t="inlineStr">
        <is>
          <t>FA-0002076</t>
        </is>
      </c>
      <c r="C77" s="2" t="inlineStr">
        <is>
          <t>showroom</t>
        </is>
      </c>
      <c r="D77" s="2" t="inlineStr">
        <is>
          <t>Consumidor Final</t>
        </is>
      </c>
      <c r="E77" s="2" t="inlineStr">
        <is>
          <t>CAM-003</t>
        </is>
      </c>
      <c r="F77" s="2" t="inlineStr">
        <is>
          <t>Campera Rompevientos Light</t>
        </is>
      </c>
      <c r="G77" s="5" t="n">
        <v>1</v>
      </c>
      <c r="H77" s="3" t="n">
        <v>42000</v>
      </c>
      <c r="I77" s="4" t="n">
        <v>0.15</v>
      </c>
      <c r="J77" s="2" t="inlineStr">
        <is>
          <t>tarjeta_credito</t>
        </is>
      </c>
      <c r="K77" s="5" t="n">
        <v>14</v>
      </c>
      <c r="L77" s="3" t="n">
        <v>35700</v>
      </c>
    </row>
    <row r="78">
      <c r="A78" s="6" t="inlineStr">
        <is>
          <t>2026-04-16</t>
        </is>
      </c>
      <c r="B78" s="2" t="inlineStr">
        <is>
          <t>FA-0002077</t>
        </is>
      </c>
      <c r="C78" s="2" t="inlineStr">
        <is>
          <t>online</t>
        </is>
      </c>
      <c r="D78" s="2" t="inlineStr">
        <is>
          <t>Consumidor Final</t>
        </is>
      </c>
      <c r="E78" s="2" t="inlineStr">
        <is>
          <t>CAM-002</t>
        </is>
      </c>
      <c r="F78" s="2" t="inlineStr">
        <is>
          <t>Campera de Abrigo Invierno</t>
        </is>
      </c>
      <c r="G78" s="5" t="n">
        <v>1</v>
      </c>
      <c r="H78" s="3" t="n">
        <v>88000</v>
      </c>
      <c r="I78" s="4" t="n">
        <v>0.25</v>
      </c>
      <c r="J78" s="2" t="inlineStr">
        <is>
          <t>tarjeta_credito</t>
        </is>
      </c>
      <c r="K78" s="5" t="n">
        <v>14</v>
      </c>
      <c r="L78" s="3" t="n">
        <v>66000</v>
      </c>
    </row>
    <row r="79">
      <c r="A79" s="6" t="inlineStr">
        <is>
          <t>2026-04-16</t>
        </is>
      </c>
      <c r="B79" s="2" t="inlineStr">
        <is>
          <t>FA-0002078</t>
        </is>
      </c>
      <c r="C79" s="2" t="inlineStr">
        <is>
          <t>feria</t>
        </is>
      </c>
      <c r="D79" s="2" t="inlineStr">
        <is>
          <t>Consumidor Final</t>
        </is>
      </c>
      <c r="E79" s="2" t="inlineStr">
        <is>
          <t>TOP-001</t>
        </is>
      </c>
      <c r="F79" s="2" t="inlineStr">
        <is>
          <t>Top Deportivo Suplex</t>
        </is>
      </c>
      <c r="G79" s="5" t="n">
        <v>3</v>
      </c>
      <c r="H79" s="3" t="n">
        <v>14900</v>
      </c>
      <c r="I79" s="4" t="n">
        <v>0.15</v>
      </c>
      <c r="J79" s="2" t="inlineStr">
        <is>
          <t>tarjeta_credito</t>
        </is>
      </c>
      <c r="K79" s="5" t="n">
        <v>14</v>
      </c>
      <c r="L79" s="3" t="n">
        <v>37995</v>
      </c>
    </row>
    <row r="80">
      <c r="A80" s="6" t="inlineStr">
        <is>
          <t>2026-04-17</t>
        </is>
      </c>
      <c r="B80" s="2" t="inlineStr">
        <is>
          <t>FA-0002079</t>
        </is>
      </c>
      <c r="C80" s="2" t="inlineStr">
        <is>
          <t>online</t>
        </is>
      </c>
      <c r="D80" s="2" t="inlineStr">
        <is>
          <t>Consumidor Final</t>
        </is>
      </c>
      <c r="E80" s="2" t="inlineStr">
        <is>
          <t>PAN-003</t>
        </is>
      </c>
      <c r="F80" s="2" t="inlineStr">
        <is>
          <t>Pantalón Cargo Gabardina</t>
        </is>
      </c>
      <c r="G80" s="5" t="n">
        <v>2</v>
      </c>
      <c r="H80" s="3" t="n">
        <v>41000</v>
      </c>
      <c r="I80" s="4" t="n">
        <v>0.15</v>
      </c>
      <c r="J80" s="2" t="inlineStr">
        <is>
          <t>tarjeta_credito</t>
        </is>
      </c>
      <c r="K80" s="5" t="n">
        <v>14</v>
      </c>
      <c r="L80" s="3" t="n">
        <v>69700</v>
      </c>
    </row>
    <row r="81">
      <c r="A81" s="6" t="inlineStr">
        <is>
          <t>2026-04-17</t>
        </is>
      </c>
      <c r="B81" s="2" t="inlineStr">
        <is>
          <t>FA-0002080</t>
        </is>
      </c>
      <c r="C81" s="2" t="inlineStr">
        <is>
          <t>feria</t>
        </is>
      </c>
      <c r="D81" s="2" t="inlineStr">
        <is>
          <t>Consumidor Final</t>
        </is>
      </c>
      <c r="E81" s="2" t="inlineStr">
        <is>
          <t>CAL-002</t>
        </is>
      </c>
      <c r="F81" s="2" t="inlineStr">
        <is>
          <t>Calza Short Deportiva</t>
        </is>
      </c>
      <c r="G81" s="5" t="n">
        <v>2</v>
      </c>
      <c r="H81" s="3" t="n">
        <v>18500</v>
      </c>
      <c r="I81" s="4" t="n">
        <v>0.15</v>
      </c>
      <c r="J81" s="2" t="inlineStr">
        <is>
          <t>tarjeta_credito</t>
        </is>
      </c>
      <c r="K81" s="5" t="n">
        <v>14</v>
      </c>
      <c r="L81" s="3" t="n">
        <v>31450</v>
      </c>
    </row>
    <row r="82">
      <c r="A82" s="6" t="inlineStr">
        <is>
          <t>2026-04-18</t>
        </is>
      </c>
      <c r="B82" s="2" t="inlineStr">
        <is>
          <t>FA-0002081</t>
        </is>
      </c>
      <c r="C82" s="2" t="inlineStr">
        <is>
          <t>mayorista</t>
        </is>
      </c>
      <c r="D82" s="2" t="inlineStr">
        <is>
          <t>Distribuidora Centro</t>
        </is>
      </c>
      <c r="E82" s="2" t="inlineStr">
        <is>
          <t>PAN-001</t>
        </is>
      </c>
      <c r="F82" s="2" t="inlineStr">
        <is>
          <t>Pantalón Jean Chupín</t>
        </is>
      </c>
      <c r="G82" s="5" t="n">
        <v>35</v>
      </c>
      <c r="H82" s="3" t="n">
        <v>28000</v>
      </c>
      <c r="I82" s="4" t="n">
        <v>0.3</v>
      </c>
      <c r="J82" s="2" t="inlineStr">
        <is>
          <t>cuenta_corriente</t>
        </is>
      </c>
      <c r="K82" s="5" t="n">
        <v>30</v>
      </c>
      <c r="L82" s="3" t="n">
        <v>686000</v>
      </c>
    </row>
    <row r="83">
      <c r="A83" s="6" t="inlineStr">
        <is>
          <t>2026-04-18</t>
        </is>
      </c>
      <c r="B83" s="2" t="inlineStr">
        <is>
          <t>FA-0002082</t>
        </is>
      </c>
      <c r="C83" s="2" t="inlineStr">
        <is>
          <t>mayorista</t>
        </is>
      </c>
      <c r="D83" s="2" t="inlineStr">
        <is>
          <t>Locales Unificados S.A.</t>
        </is>
      </c>
      <c r="E83" s="2" t="inlineStr">
        <is>
          <t>REM-002</t>
        </is>
      </c>
      <c r="F83" s="2" t="inlineStr">
        <is>
          <t>Remera Algodón Básica</t>
        </is>
      </c>
      <c r="G83" s="5" t="n">
        <v>40</v>
      </c>
      <c r="H83" s="3" t="n">
        <v>8200</v>
      </c>
      <c r="I83" s="4" t="n">
        <v>0.25</v>
      </c>
      <c r="J83" s="2" t="inlineStr">
        <is>
          <t>cuenta_corriente</t>
        </is>
      </c>
      <c r="K83" s="5" t="n">
        <v>45</v>
      </c>
      <c r="L83" s="3" t="n">
        <v>246000</v>
      </c>
    </row>
    <row r="84">
      <c r="A84" s="6" t="inlineStr">
        <is>
          <t>2026-04-18</t>
        </is>
      </c>
      <c r="B84" s="2" t="inlineStr">
        <is>
          <t>FA-0002083</t>
        </is>
      </c>
      <c r="C84" s="2" t="inlineStr">
        <is>
          <t>showroom</t>
        </is>
      </c>
      <c r="D84" s="2" t="inlineStr">
        <is>
          <t>Consumidor Final</t>
        </is>
      </c>
      <c r="E84" s="2" t="inlineStr">
        <is>
          <t>PAN-003</t>
        </is>
      </c>
      <c r="F84" s="2" t="inlineStr">
        <is>
          <t>Pantalón Cargo Gabardina</t>
        </is>
      </c>
      <c r="G84" s="5" t="n">
        <v>2</v>
      </c>
      <c r="H84" s="3" t="n">
        <v>41000</v>
      </c>
      <c r="I84" s="4" t="n">
        <v>0.15</v>
      </c>
      <c r="J84" s="2" t="inlineStr">
        <is>
          <t>tarjeta_credito</t>
        </is>
      </c>
      <c r="K84" s="5" t="n">
        <v>14</v>
      </c>
      <c r="L84" s="3" t="n">
        <v>69700</v>
      </c>
    </row>
    <row r="85">
      <c r="A85" s="6" t="inlineStr">
        <is>
          <t>2026-04-18</t>
        </is>
      </c>
      <c r="B85" s="2" t="inlineStr">
        <is>
          <t>FA-0002084</t>
        </is>
      </c>
      <c r="C85" s="2" t="inlineStr">
        <is>
          <t>feria</t>
        </is>
      </c>
      <c r="D85" s="2" t="inlineStr">
        <is>
          <t>Consumidor Final</t>
        </is>
      </c>
      <c r="E85" s="2" t="inlineStr">
        <is>
          <t>BUZ-001</t>
        </is>
      </c>
      <c r="F85" s="2" t="inlineStr">
        <is>
          <t>Buzo Canguro con Frisa</t>
        </is>
      </c>
      <c r="G85" s="5" t="n">
        <v>3</v>
      </c>
      <c r="H85" s="3" t="n">
        <v>34000</v>
      </c>
      <c r="I85" s="4" t="n">
        <v>0.15</v>
      </c>
      <c r="J85" s="2" t="inlineStr">
        <is>
          <t>tarjeta_credito</t>
        </is>
      </c>
      <c r="K85" s="5" t="n">
        <v>14</v>
      </c>
      <c r="L85" s="3" t="n">
        <v>86700</v>
      </c>
    </row>
    <row r="86">
      <c r="A86" s="6" t="inlineStr">
        <is>
          <t>2026-04-19</t>
        </is>
      </c>
      <c r="B86" s="2" t="inlineStr">
        <is>
          <t>FA-0002085</t>
        </is>
      </c>
      <c r="C86" s="2" t="inlineStr">
        <is>
          <t>showroom</t>
        </is>
      </c>
      <c r="D86" s="2" t="inlineStr">
        <is>
          <t>Consumidor Final</t>
        </is>
      </c>
      <c r="E86" s="2" t="inlineStr">
        <is>
          <t>TOP-002</t>
        </is>
      </c>
      <c r="F86" s="2" t="inlineStr">
        <is>
          <t>Top Fitness Seamless</t>
        </is>
      </c>
      <c r="G86" s="5" t="n">
        <v>3</v>
      </c>
      <c r="H86" s="3" t="n">
        <v>16500</v>
      </c>
      <c r="I86" s="4" t="n">
        <v>0.15</v>
      </c>
      <c r="J86" s="2" t="inlineStr">
        <is>
          <t>tarjeta_credito</t>
        </is>
      </c>
      <c r="K86" s="5" t="n">
        <v>14</v>
      </c>
      <c r="L86" s="3" t="n">
        <v>42075</v>
      </c>
    </row>
    <row r="87">
      <c r="A87" s="6" t="inlineStr">
        <is>
          <t>2026-04-19</t>
        </is>
      </c>
      <c r="B87" s="2" t="inlineStr">
        <is>
          <t>FA-0002086</t>
        </is>
      </c>
      <c r="C87" s="2" t="inlineStr">
        <is>
          <t>online</t>
        </is>
      </c>
      <c r="D87" s="2" t="inlineStr">
        <is>
          <t>Consumidor Final</t>
        </is>
      </c>
      <c r="E87" s="2" t="inlineStr">
        <is>
          <t>ACC-001</t>
        </is>
      </c>
      <c r="F87" s="2" t="inlineStr">
        <is>
          <t>Gorra Trucker Urbana</t>
        </is>
      </c>
      <c r="G87" s="5" t="n">
        <v>1</v>
      </c>
      <c r="H87" s="3" t="n">
        <v>11000</v>
      </c>
      <c r="I87" s="4" t="n">
        <v>0.15</v>
      </c>
      <c r="J87" s="2" t="inlineStr">
        <is>
          <t>tarjeta_credito</t>
        </is>
      </c>
      <c r="K87" s="5" t="n">
        <v>14</v>
      </c>
      <c r="L87" s="3" t="n">
        <v>9350</v>
      </c>
    </row>
    <row r="88">
      <c r="A88" s="6" t="inlineStr">
        <is>
          <t>2026-04-20</t>
        </is>
      </c>
      <c r="B88" s="2" t="inlineStr">
        <is>
          <t>FA-0002087</t>
        </is>
      </c>
      <c r="C88" s="2" t="inlineStr">
        <is>
          <t>feria</t>
        </is>
      </c>
      <c r="D88" s="2" t="inlineStr">
        <is>
          <t>Consumidor Final</t>
        </is>
      </c>
      <c r="E88" s="2" t="inlineStr">
        <is>
          <t>ACC-003</t>
        </is>
      </c>
      <c r="F88" s="2" t="inlineStr">
        <is>
          <t>Mochila Urbana Porta Notebook</t>
        </is>
      </c>
      <c r="G88" s="5" t="n">
        <v>1</v>
      </c>
      <c r="H88" s="3" t="n">
        <v>52000</v>
      </c>
      <c r="I88" s="4" t="n">
        <v>0.15</v>
      </c>
      <c r="J88" s="2" t="inlineStr">
        <is>
          <t>tarjeta_credito</t>
        </is>
      </c>
      <c r="K88" s="5" t="n">
        <v>14</v>
      </c>
      <c r="L88" s="3" t="n">
        <v>44200</v>
      </c>
    </row>
    <row r="89">
      <c r="A89" s="6" t="inlineStr">
        <is>
          <t>2026-04-20</t>
        </is>
      </c>
      <c r="B89" s="2" t="inlineStr">
        <is>
          <t>FA-0002088</t>
        </is>
      </c>
      <c r="C89" s="2" t="inlineStr">
        <is>
          <t>feria</t>
        </is>
      </c>
      <c r="D89" s="2" t="inlineStr">
        <is>
          <t>Consumidor Final</t>
        </is>
      </c>
      <c r="E89" s="2" t="inlineStr">
        <is>
          <t>ACC-001</t>
        </is>
      </c>
      <c r="F89" s="2" t="inlineStr">
        <is>
          <t>Gorra Trucker Urbana</t>
        </is>
      </c>
      <c r="G89" s="5" t="n">
        <v>1</v>
      </c>
      <c r="H89" s="3" t="n">
        <v>11000</v>
      </c>
      <c r="I89" s="4" t="n">
        <v>0.15</v>
      </c>
      <c r="J89" s="2" t="inlineStr">
        <is>
          <t>tarjeta_credito</t>
        </is>
      </c>
      <c r="K89" s="5" t="n">
        <v>14</v>
      </c>
      <c r="L89" s="3" t="n">
        <v>9350</v>
      </c>
    </row>
    <row r="90">
      <c r="A90" s="6" t="inlineStr">
        <is>
          <t>2026-04-21</t>
        </is>
      </c>
      <c r="B90" s="2" t="inlineStr">
        <is>
          <t>FA-0002089</t>
        </is>
      </c>
      <c r="C90" s="2" t="inlineStr">
        <is>
          <t>feria</t>
        </is>
      </c>
      <c r="D90" s="2" t="inlineStr">
        <is>
          <t>Consumidor Final</t>
        </is>
      </c>
      <c r="E90" s="2" t="inlineStr">
        <is>
          <t>PAN-003</t>
        </is>
      </c>
      <c r="F90" s="2" t="inlineStr">
        <is>
          <t>Pantalón Cargo Gabardina</t>
        </is>
      </c>
      <c r="G90" s="5" t="n">
        <v>2</v>
      </c>
      <c r="H90" s="3" t="n">
        <v>41000</v>
      </c>
      <c r="I90" s="4" t="n">
        <v>0.15</v>
      </c>
      <c r="J90" s="2" t="inlineStr">
        <is>
          <t>tarjeta_credito</t>
        </is>
      </c>
      <c r="K90" s="5" t="n">
        <v>14</v>
      </c>
      <c r="L90" s="3" t="n">
        <v>69700</v>
      </c>
    </row>
    <row r="91">
      <c r="A91" s="6" t="inlineStr">
        <is>
          <t>2026-04-21</t>
        </is>
      </c>
      <c r="B91" s="2" t="inlineStr">
        <is>
          <t>FA-0002090</t>
        </is>
      </c>
      <c r="C91" s="2" t="inlineStr">
        <is>
          <t>showroom</t>
        </is>
      </c>
      <c r="D91" s="2" t="inlineStr">
        <is>
          <t>Consumidor Final</t>
        </is>
      </c>
      <c r="E91" s="2" t="inlineStr">
        <is>
          <t>PAN-003</t>
        </is>
      </c>
      <c r="F91" s="2" t="inlineStr">
        <is>
          <t>Pantalón Cargo Gabardina</t>
        </is>
      </c>
      <c r="G91" s="5" t="n">
        <v>1</v>
      </c>
      <c r="H91" s="3" t="n">
        <v>41000</v>
      </c>
      <c r="I91" s="4" t="n">
        <v>0.15</v>
      </c>
      <c r="J91" s="2" t="inlineStr">
        <is>
          <t>tarjeta_credito</t>
        </is>
      </c>
      <c r="K91" s="5" t="n">
        <v>14</v>
      </c>
      <c r="L91" s="3" t="n">
        <v>34850</v>
      </c>
    </row>
    <row r="92">
      <c r="A92" s="6" t="inlineStr">
        <is>
          <t>2026-04-22</t>
        </is>
      </c>
      <c r="B92" s="2" t="inlineStr">
        <is>
          <t>FA-0002091</t>
        </is>
      </c>
      <c r="C92" s="2" t="inlineStr">
        <is>
          <t>feria</t>
        </is>
      </c>
      <c r="D92" s="2" t="inlineStr">
        <is>
          <t>Consumidor Final</t>
        </is>
      </c>
      <c r="E92" s="2" t="inlineStr">
        <is>
          <t>BUZ-002</t>
        </is>
      </c>
      <c r="F92" s="2" t="inlineStr">
        <is>
          <t>Buzo Canguro con Frisa</t>
        </is>
      </c>
      <c r="G92" s="5" t="n">
        <v>2</v>
      </c>
      <c r="H92" s="3" t="n">
        <v>34000</v>
      </c>
      <c r="I92" s="4" t="n">
        <v>0.15</v>
      </c>
      <c r="J92" s="2" t="inlineStr">
        <is>
          <t>tarjeta_credito</t>
        </is>
      </c>
      <c r="K92" s="5" t="n">
        <v>14</v>
      </c>
      <c r="L92" s="3" t="n">
        <v>57800</v>
      </c>
    </row>
    <row r="93">
      <c r="A93" s="6" t="inlineStr">
        <is>
          <t>2026-04-22</t>
        </is>
      </c>
      <c r="B93" s="2" t="inlineStr">
        <is>
          <t>FA-0002092</t>
        </is>
      </c>
      <c r="C93" s="2" t="inlineStr">
        <is>
          <t>feria</t>
        </is>
      </c>
      <c r="D93" s="2" t="inlineStr">
        <is>
          <t>Consumidor Final</t>
        </is>
      </c>
      <c r="E93" s="2" t="inlineStr">
        <is>
          <t>TOP-001</t>
        </is>
      </c>
      <c r="F93" s="2" t="inlineStr">
        <is>
          <t>Top Deportivo Suplex</t>
        </is>
      </c>
      <c r="G93" s="5" t="n">
        <v>3</v>
      </c>
      <c r="H93" s="3" t="n">
        <v>14900</v>
      </c>
      <c r="I93" s="4" t="n">
        <v>0.15</v>
      </c>
      <c r="J93" s="2" t="inlineStr">
        <is>
          <t>tarjeta_credito</t>
        </is>
      </c>
      <c r="K93" s="5" t="n">
        <v>14</v>
      </c>
      <c r="L93" s="3" t="n">
        <v>37995</v>
      </c>
    </row>
    <row r="94">
      <c r="A94" s="6" t="inlineStr">
        <is>
          <t>2026-04-23</t>
        </is>
      </c>
      <c r="B94" s="2" t="inlineStr">
        <is>
          <t>FA-0002093</t>
        </is>
      </c>
      <c r="C94" s="2" t="inlineStr">
        <is>
          <t>online</t>
        </is>
      </c>
      <c r="D94" s="2" t="inlineStr">
        <is>
          <t>Consumidor Final</t>
        </is>
      </c>
      <c r="E94" s="2" t="inlineStr">
        <is>
          <t>TOP-002</t>
        </is>
      </c>
      <c r="F94" s="2" t="inlineStr">
        <is>
          <t>Top Fitness Seamless</t>
        </is>
      </c>
      <c r="G94" s="5" t="n">
        <v>2</v>
      </c>
      <c r="H94" s="3" t="n">
        <v>16500</v>
      </c>
      <c r="I94" s="4" t="n">
        <v>0.15</v>
      </c>
      <c r="J94" s="2" t="inlineStr">
        <is>
          <t>tarjeta_credito</t>
        </is>
      </c>
      <c r="K94" s="5" t="n">
        <v>14</v>
      </c>
      <c r="L94" s="3" t="n">
        <v>28050</v>
      </c>
    </row>
    <row r="95">
      <c r="A95" s="6" t="inlineStr">
        <is>
          <t>2026-04-23</t>
        </is>
      </c>
      <c r="B95" s="2" t="inlineStr">
        <is>
          <t>FA-0002094</t>
        </is>
      </c>
      <c r="C95" s="2" t="inlineStr">
        <is>
          <t>showroom</t>
        </is>
      </c>
      <c r="D95" s="2" t="inlineStr">
        <is>
          <t>Consumidor Final</t>
        </is>
      </c>
      <c r="E95" s="2" t="inlineStr">
        <is>
          <t>MED-002</t>
        </is>
      </c>
      <c r="F95" s="2" t="inlineStr">
        <is>
          <t>Soberanas Invisibles Pack x3</t>
        </is>
      </c>
      <c r="G95" s="5" t="n">
        <v>3</v>
      </c>
      <c r="H95" s="3" t="n">
        <v>4600</v>
      </c>
      <c r="I95" s="4" t="n">
        <v>0.15</v>
      </c>
      <c r="J95" s="2" t="inlineStr">
        <is>
          <t>tarjeta_credito</t>
        </is>
      </c>
      <c r="K95" s="5" t="n">
        <v>14</v>
      </c>
      <c r="L95" s="3" t="n">
        <v>11730</v>
      </c>
    </row>
    <row r="96">
      <c r="A96" s="6" t="inlineStr">
        <is>
          <t>2026-04-24</t>
        </is>
      </c>
      <c r="B96" s="2" t="inlineStr">
        <is>
          <t>FA-0002095</t>
        </is>
      </c>
      <c r="C96" s="2" t="inlineStr">
        <is>
          <t>showroom</t>
        </is>
      </c>
      <c r="D96" s="2" t="inlineStr">
        <is>
          <t>Consumidor Final</t>
        </is>
      </c>
      <c r="E96" s="2" t="inlineStr">
        <is>
          <t>CAL-002</t>
        </is>
      </c>
      <c r="F96" s="2" t="inlineStr">
        <is>
          <t>Calza Short Deportiva</t>
        </is>
      </c>
      <c r="G96" s="5" t="n">
        <v>1</v>
      </c>
      <c r="H96" s="3" t="n">
        <v>18500</v>
      </c>
      <c r="I96" s="4" t="n">
        <v>0.15</v>
      </c>
      <c r="J96" s="2" t="inlineStr">
        <is>
          <t>tarjeta_credito</t>
        </is>
      </c>
      <c r="K96" s="5" t="n">
        <v>14</v>
      </c>
      <c r="L96" s="3" t="n">
        <v>15725</v>
      </c>
    </row>
    <row r="97">
      <c r="A97" s="6" t="inlineStr">
        <is>
          <t>2026-04-24</t>
        </is>
      </c>
      <c r="B97" s="2" t="inlineStr">
        <is>
          <t>FA-0002096</t>
        </is>
      </c>
      <c r="C97" s="2" t="inlineStr">
        <is>
          <t>feria</t>
        </is>
      </c>
      <c r="D97" s="2" t="inlineStr">
        <is>
          <t>Consumidor Final</t>
        </is>
      </c>
      <c r="E97" s="2" t="inlineStr">
        <is>
          <t>REM-001</t>
        </is>
      </c>
      <c r="F97" s="2" t="inlineStr">
        <is>
          <t>Remera Algodón Básica</t>
        </is>
      </c>
      <c r="G97" s="5" t="n">
        <v>3</v>
      </c>
      <c r="H97" s="3" t="n">
        <v>12500</v>
      </c>
      <c r="I97" s="4" t="n">
        <v>0.15</v>
      </c>
      <c r="J97" s="2" t="inlineStr">
        <is>
          <t>tarjeta_credito</t>
        </is>
      </c>
      <c r="K97" s="5" t="n">
        <v>14</v>
      </c>
      <c r="L97" s="3" t="n">
        <v>31875</v>
      </c>
    </row>
    <row r="98">
      <c r="A98" s="6" t="inlineStr">
        <is>
          <t>2026-04-25</t>
        </is>
      </c>
      <c r="B98" s="2" t="inlineStr">
        <is>
          <t>FA-0002097</t>
        </is>
      </c>
      <c r="C98" s="2" t="inlineStr">
        <is>
          <t>mayorista</t>
        </is>
      </c>
      <c r="D98" s="2" t="inlineStr">
        <is>
          <t>Distribuidora Centro</t>
        </is>
      </c>
      <c r="E98" s="2" t="inlineStr">
        <is>
          <t>PAN-001</t>
        </is>
      </c>
      <c r="F98" s="2" t="inlineStr">
        <is>
          <t>Pantalón Jean Chupín</t>
        </is>
      </c>
      <c r="G98" s="5" t="n">
        <v>35</v>
      </c>
      <c r="H98" s="3" t="n">
        <v>28000</v>
      </c>
      <c r="I98" s="4" t="n">
        <v>0.3</v>
      </c>
      <c r="J98" s="2" t="inlineStr">
        <is>
          <t>cuenta_corriente</t>
        </is>
      </c>
      <c r="K98" s="5" t="n">
        <v>30</v>
      </c>
      <c r="L98" s="3" t="n">
        <v>686000</v>
      </c>
    </row>
    <row r="99">
      <c r="A99" s="6" t="inlineStr">
        <is>
          <t>2026-04-25</t>
        </is>
      </c>
      <c r="B99" s="2" t="inlineStr">
        <is>
          <t>FA-0002098</t>
        </is>
      </c>
      <c r="C99" s="2" t="inlineStr">
        <is>
          <t>mayorista</t>
        </is>
      </c>
      <c r="D99" s="2" t="inlineStr">
        <is>
          <t>Locales Unificados S.A.</t>
        </is>
      </c>
      <c r="E99" s="2" t="inlineStr">
        <is>
          <t>CAL-001</t>
        </is>
      </c>
      <c r="F99" s="2" t="inlineStr">
        <is>
          <t>Calza Deportiva Alta Cintura</t>
        </is>
      </c>
      <c r="G99" s="5" t="n">
        <v>40</v>
      </c>
      <c r="H99" s="3" t="n">
        <v>14500</v>
      </c>
      <c r="I99" s="4" t="n">
        <v>0.25</v>
      </c>
      <c r="J99" s="2" t="inlineStr">
        <is>
          <t>cuenta_corriente</t>
        </is>
      </c>
      <c r="K99" s="5" t="n">
        <v>45</v>
      </c>
      <c r="L99" s="3" t="n">
        <v>435000</v>
      </c>
    </row>
    <row r="100">
      <c r="A100" s="6" t="inlineStr">
        <is>
          <t>2026-04-25</t>
        </is>
      </c>
      <c r="B100" s="2" t="inlineStr">
        <is>
          <t>FA-0002099</t>
        </is>
      </c>
      <c r="C100" s="2" t="inlineStr">
        <is>
          <t>online</t>
        </is>
      </c>
      <c r="D100" s="2" t="inlineStr">
        <is>
          <t>Consumidor Final</t>
        </is>
      </c>
      <c r="E100" s="2" t="inlineStr">
        <is>
          <t>REM-004</t>
        </is>
      </c>
      <c r="F100" s="2" t="inlineStr">
        <is>
          <t>Remera Oversize Vint</t>
        </is>
      </c>
      <c r="G100" s="5" t="n">
        <v>1</v>
      </c>
      <c r="H100" s="3" t="n">
        <v>17800</v>
      </c>
      <c r="I100" s="4" t="n">
        <v>0.15</v>
      </c>
      <c r="J100" s="2" t="inlineStr">
        <is>
          <t>tarjeta_credito</t>
        </is>
      </c>
      <c r="K100" s="5" t="n">
        <v>14</v>
      </c>
      <c r="L100" s="3" t="n">
        <v>15130</v>
      </c>
    </row>
    <row r="101">
      <c r="A101" s="6" t="inlineStr">
        <is>
          <t>2026-04-25</t>
        </is>
      </c>
      <c r="B101" s="2" t="inlineStr">
        <is>
          <t>FA-0002100</t>
        </is>
      </c>
      <c r="C101" s="2" t="inlineStr">
        <is>
          <t>showroom</t>
        </is>
      </c>
      <c r="D101" s="2" t="inlineStr">
        <is>
          <t>Consumidor Final</t>
        </is>
      </c>
      <c r="E101" s="2" t="inlineStr">
        <is>
          <t>TOP-002</t>
        </is>
      </c>
      <c r="F101" s="2" t="inlineStr">
        <is>
          <t>Top Fitness Seamless</t>
        </is>
      </c>
      <c r="G101" s="5" t="n">
        <v>1</v>
      </c>
      <c r="H101" s="3" t="n">
        <v>16500</v>
      </c>
      <c r="I101" s="4" t="n">
        <v>0.15</v>
      </c>
      <c r="J101" s="2" t="inlineStr">
        <is>
          <t>tarjeta_credito</t>
        </is>
      </c>
      <c r="K101" s="5" t="n">
        <v>14</v>
      </c>
      <c r="L101" s="3" t="n">
        <v>14025</v>
      </c>
    </row>
    <row r="102">
      <c r="A102" s="6" t="inlineStr">
        <is>
          <t>2026-04-26</t>
        </is>
      </c>
      <c r="B102" s="2" t="inlineStr">
        <is>
          <t>FA-0002101</t>
        </is>
      </c>
      <c r="C102" s="2" t="inlineStr">
        <is>
          <t>online</t>
        </is>
      </c>
      <c r="D102" s="2" t="inlineStr">
        <is>
          <t>Consumidor Final</t>
        </is>
      </c>
      <c r="E102" s="2" t="inlineStr">
        <is>
          <t>CAM-002</t>
        </is>
      </c>
      <c r="F102" s="2" t="inlineStr">
        <is>
          <t>Campera de Abrigo Invierno</t>
        </is>
      </c>
      <c r="G102" s="5" t="n">
        <v>1</v>
      </c>
      <c r="H102" s="3" t="n">
        <v>88000</v>
      </c>
      <c r="I102" s="4" t="n">
        <v>0.25</v>
      </c>
      <c r="J102" s="2" t="inlineStr">
        <is>
          <t>tarjeta_credito</t>
        </is>
      </c>
      <c r="K102" s="5" t="n">
        <v>14</v>
      </c>
      <c r="L102" s="3" t="n">
        <v>66000</v>
      </c>
    </row>
    <row r="103">
      <c r="A103" s="6" t="inlineStr">
        <is>
          <t>2026-04-26</t>
        </is>
      </c>
      <c r="B103" s="2" t="inlineStr">
        <is>
          <t>FA-0002102</t>
        </is>
      </c>
      <c r="C103" s="2" t="inlineStr">
        <is>
          <t>feria</t>
        </is>
      </c>
      <c r="D103" s="2" t="inlineStr">
        <is>
          <t>Consumidor Final</t>
        </is>
      </c>
      <c r="E103" s="2" t="inlineStr">
        <is>
          <t>REM-003</t>
        </is>
      </c>
      <c r="F103" s="2" t="inlineStr">
        <is>
          <t>Remera Estampada Urban</t>
        </is>
      </c>
      <c r="G103" s="5" t="n">
        <v>2</v>
      </c>
      <c r="H103" s="3" t="n">
        <v>15500</v>
      </c>
      <c r="I103" s="4" t="n">
        <v>0.15</v>
      </c>
      <c r="J103" s="2" t="inlineStr">
        <is>
          <t>tarjeta_credito</t>
        </is>
      </c>
      <c r="K103" s="5" t="n">
        <v>14</v>
      </c>
      <c r="L103" s="3" t="n">
        <v>26350</v>
      </c>
    </row>
    <row r="104">
      <c r="A104" s="6" t="inlineStr">
        <is>
          <t>2026-04-27</t>
        </is>
      </c>
      <c r="B104" s="2" t="inlineStr">
        <is>
          <t>FA-0002103</t>
        </is>
      </c>
      <c r="C104" s="2" t="inlineStr">
        <is>
          <t>online</t>
        </is>
      </c>
      <c r="D104" s="2" t="inlineStr">
        <is>
          <t>Consumidor Final</t>
        </is>
      </c>
      <c r="E104" s="2" t="inlineStr">
        <is>
          <t>ACC-001</t>
        </is>
      </c>
      <c r="F104" s="2" t="inlineStr">
        <is>
          <t>Gorra Trucker Urbana</t>
        </is>
      </c>
      <c r="G104" s="5" t="n">
        <v>1</v>
      </c>
      <c r="H104" s="3" t="n">
        <v>11000</v>
      </c>
      <c r="I104" s="4" t="n">
        <v>0.15</v>
      </c>
      <c r="J104" s="2" t="inlineStr">
        <is>
          <t>tarjeta_credito</t>
        </is>
      </c>
      <c r="K104" s="5" t="n">
        <v>14</v>
      </c>
      <c r="L104" s="3" t="n">
        <v>9350</v>
      </c>
    </row>
    <row r="105">
      <c r="A105" s="6" t="inlineStr">
        <is>
          <t>2026-04-27</t>
        </is>
      </c>
      <c r="B105" s="2" t="inlineStr">
        <is>
          <t>FA-0002104</t>
        </is>
      </c>
      <c r="C105" s="2" t="inlineStr">
        <is>
          <t>feria</t>
        </is>
      </c>
      <c r="D105" s="2" t="inlineStr">
        <is>
          <t>Consumidor Final</t>
        </is>
      </c>
      <c r="E105" s="2" t="inlineStr">
        <is>
          <t>ACC-002</t>
        </is>
      </c>
      <c r="F105" s="2" t="inlineStr">
        <is>
          <t>Cinturón de Lona Reforzado</t>
        </is>
      </c>
      <c r="G105" s="5" t="n">
        <v>3</v>
      </c>
      <c r="H105" s="3" t="n">
        <v>9500</v>
      </c>
      <c r="I105" s="4" t="n">
        <v>0.15</v>
      </c>
      <c r="J105" s="2" t="inlineStr">
        <is>
          <t>tarjeta_credito</t>
        </is>
      </c>
      <c r="K105" s="5" t="n">
        <v>14</v>
      </c>
      <c r="L105" s="3" t="n">
        <v>24225</v>
      </c>
    </row>
    <row r="106">
      <c r="A106" s="6" t="inlineStr">
        <is>
          <t>2026-04-28</t>
        </is>
      </c>
      <c r="B106" s="2" t="inlineStr">
        <is>
          <t>FA-0002105</t>
        </is>
      </c>
      <c r="C106" s="2" t="inlineStr">
        <is>
          <t>online</t>
        </is>
      </c>
      <c r="D106" s="2" t="inlineStr">
        <is>
          <t>Consumidor Final</t>
        </is>
      </c>
      <c r="E106" s="2" t="inlineStr">
        <is>
          <t>CAM-002</t>
        </is>
      </c>
      <c r="F106" s="2" t="inlineStr">
        <is>
          <t>Campera de Abrigo Invierno</t>
        </is>
      </c>
      <c r="G106" s="5" t="n">
        <v>1</v>
      </c>
      <c r="H106" s="3" t="n">
        <v>88000</v>
      </c>
      <c r="I106" s="4" t="n">
        <v>0.25</v>
      </c>
      <c r="J106" s="2" t="inlineStr">
        <is>
          <t>tarjeta_credito</t>
        </is>
      </c>
      <c r="K106" s="5" t="n">
        <v>14</v>
      </c>
      <c r="L106" s="3" t="n">
        <v>66000</v>
      </c>
    </row>
    <row r="107">
      <c r="A107" s="6" t="inlineStr">
        <is>
          <t>2026-04-28</t>
        </is>
      </c>
      <c r="B107" s="2" t="inlineStr">
        <is>
          <t>FA-0002106</t>
        </is>
      </c>
      <c r="C107" s="2" t="inlineStr">
        <is>
          <t>online</t>
        </is>
      </c>
      <c r="D107" s="2" t="inlineStr">
        <is>
          <t>Consumidor Final</t>
        </is>
      </c>
      <c r="E107" s="2" t="inlineStr">
        <is>
          <t>ACC-002</t>
        </is>
      </c>
      <c r="F107" s="2" t="inlineStr">
        <is>
          <t>Cinturón de Lona Reforzado</t>
        </is>
      </c>
      <c r="G107" s="5" t="n">
        <v>2</v>
      </c>
      <c r="H107" s="3" t="n">
        <v>9500</v>
      </c>
      <c r="I107" s="4" t="n">
        <v>0.15</v>
      </c>
      <c r="J107" s="2" t="inlineStr">
        <is>
          <t>tarjeta_credito</t>
        </is>
      </c>
      <c r="K107" s="5" t="n">
        <v>14</v>
      </c>
      <c r="L107" s="3" t="n">
        <v>16150</v>
      </c>
    </row>
    <row r="108">
      <c r="A108" s="6" t="inlineStr">
        <is>
          <t>2026-04-29</t>
        </is>
      </c>
      <c r="B108" s="2" t="inlineStr">
        <is>
          <t>FA-0002107</t>
        </is>
      </c>
      <c r="C108" s="2" t="inlineStr">
        <is>
          <t>showroom</t>
        </is>
      </c>
      <c r="D108" s="2" t="inlineStr">
        <is>
          <t>Consumidor Final</t>
        </is>
      </c>
      <c r="E108" s="2" t="inlineStr">
        <is>
          <t>ACC-003</t>
        </is>
      </c>
      <c r="F108" s="2" t="inlineStr">
        <is>
          <t>Mochila Urbana Porta Notebook</t>
        </is>
      </c>
      <c r="G108" s="5" t="n">
        <v>3</v>
      </c>
      <c r="H108" s="3" t="n">
        <v>52000</v>
      </c>
      <c r="I108" s="4" t="n">
        <v>0.15</v>
      </c>
      <c r="J108" s="2" t="inlineStr">
        <is>
          <t>tarjeta_credito</t>
        </is>
      </c>
      <c r="K108" s="5" t="n">
        <v>14</v>
      </c>
      <c r="L108" s="3" t="n">
        <v>132600</v>
      </c>
    </row>
    <row r="109">
      <c r="A109" s="6" t="inlineStr">
        <is>
          <t>2026-04-29</t>
        </is>
      </c>
      <c r="B109" s="2" t="inlineStr">
        <is>
          <t>FA-0002108</t>
        </is>
      </c>
      <c r="C109" s="2" t="inlineStr">
        <is>
          <t>online</t>
        </is>
      </c>
      <c r="D109" s="2" t="inlineStr">
        <is>
          <t>Consumidor Final</t>
        </is>
      </c>
      <c r="E109" s="2" t="inlineStr">
        <is>
          <t>PAN-001</t>
        </is>
      </c>
      <c r="F109" s="2" t="inlineStr">
        <is>
          <t>Pantalón Jean Chupín</t>
        </is>
      </c>
      <c r="G109" s="5" t="n">
        <v>1</v>
      </c>
      <c r="H109" s="3" t="n">
        <v>44000</v>
      </c>
      <c r="I109" s="4" t="n">
        <v>0.15</v>
      </c>
      <c r="J109" s="2" t="inlineStr">
        <is>
          <t>tarjeta_credito</t>
        </is>
      </c>
      <c r="K109" s="5" t="n">
        <v>14</v>
      </c>
      <c r="L109" s="3" t="n">
        <v>37400</v>
      </c>
    </row>
    <row r="110">
      <c r="A110" s="6" t="inlineStr">
        <is>
          <t>2026-05-02</t>
        </is>
      </c>
      <c r="B110" s="2" t="inlineStr">
        <is>
          <t>FA-0002109</t>
        </is>
      </c>
      <c r="C110" s="2" t="inlineStr">
        <is>
          <t>minorista</t>
        </is>
      </c>
      <c r="D110" s="2" t="inlineStr">
        <is>
          <t>Consumidor Final</t>
        </is>
      </c>
      <c r="E110" s="2" t="inlineStr">
        <is>
          <t>PAN-003</t>
        </is>
      </c>
      <c r="F110" s="2" t="inlineStr">
        <is>
          <t>Pantalón Cargo Gabardina</t>
        </is>
      </c>
      <c r="G110" s="5" t="n">
        <v>1</v>
      </c>
      <c r="H110" s="3" t="n">
        <v>41000</v>
      </c>
      <c r="I110" s="4" t="n">
        <v>0</v>
      </c>
      <c r="J110" s="2" t="inlineStr">
        <is>
          <t>mercado_pago</t>
        </is>
      </c>
      <c r="K110" s="5" t="n">
        <v>0</v>
      </c>
      <c r="L110" s="3" t="n">
        <v>41000</v>
      </c>
    </row>
    <row r="111">
      <c r="A111" s="6" t="inlineStr">
        <is>
          <t>2026-05-06</t>
        </is>
      </c>
      <c r="B111" s="2" t="inlineStr">
        <is>
          <t>FA-0002110</t>
        </is>
      </c>
      <c r="C111" s="2" t="inlineStr">
        <is>
          <t>showroom</t>
        </is>
      </c>
      <c r="D111" s="2" t="inlineStr">
        <is>
          <t>Consumidor Final</t>
        </is>
      </c>
      <c r="E111" s="2" t="inlineStr">
        <is>
          <t>BUZ-003</t>
        </is>
      </c>
      <c r="F111" s="2" t="inlineStr">
        <is>
          <t>Buzo Cuello Redondo Premium</t>
        </is>
      </c>
      <c r="G111" s="5" t="n">
        <v>1</v>
      </c>
      <c r="H111" s="3" t="n">
        <v>38500</v>
      </c>
      <c r="I111" s="4" t="n">
        <v>0</v>
      </c>
      <c r="J111" s="2" t="inlineStr">
        <is>
          <t>mercado_pago</t>
        </is>
      </c>
      <c r="K111" s="5" t="n">
        <v>0</v>
      </c>
      <c r="L111" s="3" t="n">
        <v>38500</v>
      </c>
    </row>
    <row r="112">
      <c r="A112" s="6" t="inlineStr">
        <is>
          <t>2026-05-08</t>
        </is>
      </c>
      <c r="B112" s="2" t="inlineStr">
        <is>
          <t>FA-0002111</t>
        </is>
      </c>
      <c r="C112" s="2" t="inlineStr">
        <is>
          <t>online</t>
        </is>
      </c>
      <c r="D112" s="2" t="inlineStr">
        <is>
          <t>Consumidor Final</t>
        </is>
      </c>
      <c r="E112" s="2" t="inlineStr">
        <is>
          <t>MED-001</t>
        </is>
      </c>
      <c r="F112" s="2" t="inlineStr">
        <is>
          <t>Medias Element Pack x3</t>
        </is>
      </c>
      <c r="G112" s="5" t="n">
        <v>2</v>
      </c>
      <c r="H112" s="3" t="n">
        <v>5400</v>
      </c>
      <c r="I112" s="4" t="n">
        <v>0</v>
      </c>
      <c r="J112" s="2" t="inlineStr">
        <is>
          <t>mercado_pago</t>
        </is>
      </c>
      <c r="K112" s="5" t="n">
        <v>0</v>
      </c>
      <c r="L112" s="3" t="n">
        <v>10800</v>
      </c>
    </row>
    <row r="113">
      <c r="A113" s="6" t="inlineStr">
        <is>
          <t>2026-05-10</t>
        </is>
      </c>
      <c r="B113" s="2" t="inlineStr">
        <is>
          <t>FA-0002112</t>
        </is>
      </c>
      <c r="C113" s="2" t="inlineStr">
        <is>
          <t>showroom</t>
        </is>
      </c>
      <c r="D113" s="2" t="inlineStr">
        <is>
          <t>Consumidor Final</t>
        </is>
      </c>
      <c r="E113" s="2" t="inlineStr">
        <is>
          <t>PAN-003</t>
        </is>
      </c>
      <c r="F113" s="2" t="inlineStr">
        <is>
          <t>Pantalón Cargo Gabardina</t>
        </is>
      </c>
      <c r="G113" s="5" t="n">
        <v>1</v>
      </c>
      <c r="H113" s="3" t="n">
        <v>41000</v>
      </c>
      <c r="I113" s="4" t="n">
        <v>0</v>
      </c>
      <c r="J113" s="2" t="inlineStr">
        <is>
          <t>mercado_pago</t>
        </is>
      </c>
      <c r="K113" s="5" t="n">
        <v>0</v>
      </c>
      <c r="L113" s="3" t="n">
        <v>41000</v>
      </c>
    </row>
    <row r="114">
      <c r="A114" s="6" t="inlineStr">
        <is>
          <t>2026-05-12</t>
        </is>
      </c>
      <c r="B114" s="2" t="inlineStr">
        <is>
          <t>FA-0002113</t>
        </is>
      </c>
      <c r="C114" s="2" t="inlineStr">
        <is>
          <t>online</t>
        </is>
      </c>
      <c r="D114" s="2" t="inlineStr">
        <is>
          <t>Consumidor Final</t>
        </is>
      </c>
      <c r="E114" s="2" t="inlineStr">
        <is>
          <t>TOP-001</t>
        </is>
      </c>
      <c r="F114" s="2" t="inlineStr">
        <is>
          <t>Top Deportivo Suplex</t>
        </is>
      </c>
      <c r="G114" s="5" t="n">
        <v>1</v>
      </c>
      <c r="H114" s="3" t="n">
        <v>14900</v>
      </c>
      <c r="I114" s="4" t="n">
        <v>0</v>
      </c>
      <c r="J114" s="2" t="inlineStr">
        <is>
          <t>mercado_pago</t>
        </is>
      </c>
      <c r="K114" s="5" t="n">
        <v>0</v>
      </c>
      <c r="L114" s="3" t="n">
        <v>14900</v>
      </c>
    </row>
    <row r="115">
      <c r="A115" s="6" t="inlineStr">
        <is>
          <t>2026-05-14</t>
        </is>
      </c>
      <c r="B115" s="2" t="inlineStr">
        <is>
          <t>FA-0002114</t>
        </is>
      </c>
      <c r="C115" s="2" t="inlineStr">
        <is>
          <t>showroom</t>
        </is>
      </c>
      <c r="D115" s="2" t="inlineStr">
        <is>
          <t>Consumidor Final</t>
        </is>
      </c>
      <c r="E115" s="2" t="inlineStr">
        <is>
          <t>ACC-002</t>
        </is>
      </c>
      <c r="F115" s="2" t="inlineStr">
        <is>
          <t>Cinturón de Lona Reforzado</t>
        </is>
      </c>
      <c r="G115" s="5" t="n">
        <v>2</v>
      </c>
      <c r="H115" s="3" t="n">
        <v>9500</v>
      </c>
      <c r="I115" s="4" t="n">
        <v>0</v>
      </c>
      <c r="J115" s="2" t="inlineStr">
        <is>
          <t>mercado_pago</t>
        </is>
      </c>
      <c r="K115" s="5" t="n">
        <v>0</v>
      </c>
      <c r="L115" s="3" t="n">
        <v>19000</v>
      </c>
    </row>
    <row r="116">
      <c r="A116" s="6" t="inlineStr">
        <is>
          <t>2026-05-16</t>
        </is>
      </c>
      <c r="B116" s="2" t="inlineStr">
        <is>
          <t>FA-0002115</t>
        </is>
      </c>
      <c r="C116" s="2" t="inlineStr">
        <is>
          <t>showroom</t>
        </is>
      </c>
      <c r="D116" s="2" t="inlineStr">
        <is>
          <t>Consumidor Final</t>
        </is>
      </c>
      <c r="E116" s="2" t="inlineStr">
        <is>
          <t>BUZ-002</t>
        </is>
      </c>
      <c r="F116" s="2" t="inlineStr">
        <is>
          <t>Buzo Canguro con Frisa</t>
        </is>
      </c>
      <c r="G116" s="5" t="n">
        <v>2</v>
      </c>
      <c r="H116" s="3" t="n">
        <v>34000</v>
      </c>
      <c r="I116" s="4" t="n">
        <v>0</v>
      </c>
      <c r="J116" s="2" t="inlineStr">
        <is>
          <t>mercado_pago</t>
        </is>
      </c>
      <c r="K116" s="5" t="n">
        <v>0</v>
      </c>
      <c r="L116" s="3" t="n">
        <v>68000</v>
      </c>
    </row>
    <row r="117">
      <c r="A117" s="6" t="inlineStr">
        <is>
          <t>2026-05-18</t>
        </is>
      </c>
      <c r="B117" s="2" t="inlineStr">
        <is>
          <t>FA-0002116</t>
        </is>
      </c>
      <c r="C117" s="2" t="inlineStr">
        <is>
          <t>minorista</t>
        </is>
      </c>
      <c r="D117" s="2" t="inlineStr">
        <is>
          <t>Consumidor Final</t>
        </is>
      </c>
      <c r="E117" s="2" t="inlineStr">
        <is>
          <t>TOP-001</t>
        </is>
      </c>
      <c r="F117" s="2" t="inlineStr">
        <is>
          <t>Top Deportivo Suplex</t>
        </is>
      </c>
      <c r="G117" s="5" t="n">
        <v>2</v>
      </c>
      <c r="H117" s="3" t="n">
        <v>14900</v>
      </c>
      <c r="I117" s="4" t="n">
        <v>0</v>
      </c>
      <c r="J117" s="2" t="inlineStr">
        <is>
          <t>mercado_pago</t>
        </is>
      </c>
      <c r="K117" s="5" t="n">
        <v>0</v>
      </c>
      <c r="L117" s="3" t="n">
        <v>29800</v>
      </c>
    </row>
    <row r="118">
      <c r="A118" s="6" t="inlineStr">
        <is>
          <t>2026-05-20</t>
        </is>
      </c>
      <c r="B118" s="2" t="inlineStr">
        <is>
          <t>FA-0002117</t>
        </is>
      </c>
      <c r="C118" s="2" t="inlineStr">
        <is>
          <t>showroom</t>
        </is>
      </c>
      <c r="D118" s="2" t="inlineStr">
        <is>
          <t>Consumidor Final</t>
        </is>
      </c>
      <c r="E118" s="2" t="inlineStr">
        <is>
          <t>CAM-003</t>
        </is>
      </c>
      <c r="F118" s="2" t="inlineStr">
        <is>
          <t>Campera Rompevientos Light</t>
        </is>
      </c>
      <c r="G118" s="5" t="n">
        <v>2</v>
      </c>
      <c r="H118" s="3" t="n">
        <v>42000</v>
      </c>
      <c r="I118" s="4" t="n">
        <v>0</v>
      </c>
      <c r="J118" s="2" t="inlineStr">
        <is>
          <t>mercado_pago</t>
        </is>
      </c>
      <c r="K118" s="5" t="n">
        <v>0</v>
      </c>
      <c r="L118" s="3" t="n">
        <v>84000</v>
      </c>
    </row>
    <row r="119">
      <c r="A119" s="6" t="inlineStr">
        <is>
          <t>2026-05-22</t>
        </is>
      </c>
      <c r="B119" s="2" t="inlineStr">
        <is>
          <t>FA-0002118</t>
        </is>
      </c>
      <c r="C119" s="2" t="inlineStr">
        <is>
          <t>online</t>
        </is>
      </c>
      <c r="D119" s="2" t="inlineStr">
        <is>
          <t>Consumidor Final</t>
        </is>
      </c>
      <c r="E119" s="2" t="inlineStr">
        <is>
          <t>BUZ-002</t>
        </is>
      </c>
      <c r="F119" s="2" t="inlineStr">
        <is>
          <t>Buzo Canguro con Frisa</t>
        </is>
      </c>
      <c r="G119" s="5" t="n">
        <v>1</v>
      </c>
      <c r="H119" s="3" t="n">
        <v>34000</v>
      </c>
      <c r="I119" s="4" t="n">
        <v>0</v>
      </c>
      <c r="J119" s="2" t="inlineStr">
        <is>
          <t>mercado_pago</t>
        </is>
      </c>
      <c r="K119" s="5" t="n">
        <v>0</v>
      </c>
      <c r="L119" s="3" t="n">
        <v>34000</v>
      </c>
    </row>
    <row r="120">
      <c r="A120" s="6" t="inlineStr">
        <is>
          <t>2026-05-24</t>
        </is>
      </c>
      <c r="B120" s="2" t="inlineStr">
        <is>
          <t>FA-0002119</t>
        </is>
      </c>
      <c r="C120" s="2" t="inlineStr">
        <is>
          <t>showroom</t>
        </is>
      </c>
      <c r="D120" s="2" t="inlineStr">
        <is>
          <t>Consumidor Final</t>
        </is>
      </c>
      <c r="E120" s="2" t="inlineStr">
        <is>
          <t>CAL-002</t>
        </is>
      </c>
      <c r="F120" s="2" t="inlineStr">
        <is>
          <t>Calza Short Deportiva</t>
        </is>
      </c>
      <c r="G120" s="5" t="n">
        <v>1</v>
      </c>
      <c r="H120" s="3" t="n">
        <v>18500</v>
      </c>
      <c r="I120" s="4" t="n">
        <v>0</v>
      </c>
      <c r="J120" s="2" t="inlineStr">
        <is>
          <t>mercado_pago</t>
        </is>
      </c>
      <c r="K120" s="5" t="n">
        <v>0</v>
      </c>
      <c r="L120" s="3" t="n">
        <v>18500</v>
      </c>
    </row>
    <row r="121">
      <c r="A121" s="6" t="inlineStr">
        <is>
          <t>2026-05-26</t>
        </is>
      </c>
      <c r="B121" s="2" t="inlineStr">
        <is>
          <t>FA-0002120</t>
        </is>
      </c>
      <c r="C121" s="2" t="inlineStr">
        <is>
          <t>online</t>
        </is>
      </c>
      <c r="D121" s="2" t="inlineStr">
        <is>
          <t>Consumidor Final</t>
        </is>
      </c>
      <c r="E121" s="2" t="inlineStr">
        <is>
          <t>TOP-002</t>
        </is>
      </c>
      <c r="F121" s="2" t="inlineStr">
        <is>
          <t>Top Fitness Seamless</t>
        </is>
      </c>
      <c r="G121" s="5" t="n">
        <v>1</v>
      </c>
      <c r="H121" s="3" t="n">
        <v>16500</v>
      </c>
      <c r="I121" s="4" t="n">
        <v>0</v>
      </c>
      <c r="J121" s="2" t="inlineStr">
        <is>
          <t>mercado_pago</t>
        </is>
      </c>
      <c r="K121" s="5" t="n">
        <v>0</v>
      </c>
      <c r="L121" s="3" t="n">
        <v>16500</v>
      </c>
    </row>
    <row r="122">
      <c r="A122" s="6" t="inlineStr">
        <is>
          <t>2026-05-28</t>
        </is>
      </c>
      <c r="B122" s="2" t="inlineStr">
        <is>
          <t>FA-0002121</t>
        </is>
      </c>
      <c r="C122" s="2" t="inlineStr">
        <is>
          <t>showroom</t>
        </is>
      </c>
      <c r="D122" s="2" t="inlineStr">
        <is>
          <t>Consumidor Final</t>
        </is>
      </c>
      <c r="E122" s="2" t="inlineStr">
        <is>
          <t>BUZ-002</t>
        </is>
      </c>
      <c r="F122" s="2" t="inlineStr">
        <is>
          <t>Buzo Canguro con Frisa</t>
        </is>
      </c>
      <c r="G122" s="5" t="n">
        <v>1</v>
      </c>
      <c r="H122" s="3" t="n">
        <v>34000</v>
      </c>
      <c r="I122" s="4" t="n">
        <v>0</v>
      </c>
      <c r="J122" s="2" t="inlineStr">
        <is>
          <t>mercado_pago</t>
        </is>
      </c>
      <c r="K122" s="5" t="n">
        <v>0</v>
      </c>
      <c r="L122" s="3" t="n">
        <v>34000</v>
      </c>
    </row>
    <row r="123">
      <c r="A123" s="6" t="inlineStr">
        <is>
          <t>2026-05-30</t>
        </is>
      </c>
      <c r="B123" s="2" t="inlineStr">
        <is>
          <t>FA-0002122</t>
        </is>
      </c>
      <c r="C123" s="2" t="inlineStr">
        <is>
          <t>online</t>
        </is>
      </c>
      <c r="D123" s="2" t="inlineStr">
        <is>
          <t>Consumidor Final</t>
        </is>
      </c>
      <c r="E123" s="2" t="inlineStr">
        <is>
          <t>TOP-001</t>
        </is>
      </c>
      <c r="F123" s="2" t="inlineStr">
        <is>
          <t>Top Deportivo Suplex</t>
        </is>
      </c>
      <c r="G123" s="5" t="n">
        <v>1</v>
      </c>
      <c r="H123" s="3" t="n">
        <v>14900</v>
      </c>
      <c r="I123" s="4" t="n">
        <v>0</v>
      </c>
      <c r="J123" s="2" t="inlineStr">
        <is>
          <t>mercado_pago</t>
        </is>
      </c>
      <c r="K123" s="5" t="n">
        <v>0</v>
      </c>
      <c r="L123" s="3" t="n">
        <v>14900</v>
      </c>
    </row>
  </sheetData>
  <autoFilter ref="A1:L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2" customWidth="1" min="4" max="4"/>
    <col width="32" customWidth="1" min="5" max="5"/>
    <col width="21" customWidth="1" min="6" max="6"/>
    <col width="18" customWidth="1" min="7" max="7"/>
    <col width="17" customWidth="1" min="8" max="8"/>
    <col width="14" customWidth="1" min="9" max="9"/>
    <col width="15" customWidth="1" min="10" max="10"/>
  </cols>
  <sheetData>
    <row r="1" ht="26" customHeight="1">
      <c r="A1" s="1" t="inlineStr">
        <is>
          <t>fecha</t>
        </is>
      </c>
      <c r="B1" s="1" t="inlineStr">
        <is>
          <t>orden_compra</t>
        </is>
      </c>
      <c r="C1" s="1" t="inlineStr">
        <is>
          <t>proveedor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cantidad_comprada</t>
        </is>
      </c>
      <c r="G1" s="1" t="inlineStr">
        <is>
          <t>costo_unitario</t>
        </is>
      </c>
      <c r="H1" s="1" t="inlineStr">
        <is>
          <t>importe_total</t>
        </is>
      </c>
      <c r="I1" s="1" t="inlineStr">
        <is>
          <t>fecha_pago</t>
        </is>
      </c>
      <c r="J1" s="1" t="inlineStr">
        <is>
          <t>estado_pago</t>
        </is>
      </c>
    </row>
    <row r="2">
      <c r="A2" s="6" t="inlineStr">
        <is>
          <t>2026-03-05</t>
        </is>
      </c>
      <c r="B2" s="2" t="inlineStr">
        <is>
          <t>OC-101</t>
        </is>
      </c>
      <c r="C2" s="2" t="inlineStr">
        <is>
          <t>Textil Avellaneda</t>
        </is>
      </c>
      <c r="D2" s="2" t="inlineStr">
        <is>
          <t>REM-001</t>
        </is>
      </c>
      <c r="E2" s="2" t="inlineStr">
        <is>
          <t>Remera Algodón Básica</t>
        </is>
      </c>
      <c r="F2" s="5" t="n">
        <v>27</v>
      </c>
      <c r="G2" s="3" t="n">
        <v>4140</v>
      </c>
      <c r="H2" s="3" t="n">
        <v>111780</v>
      </c>
      <c r="I2" s="6" t="inlineStr">
        <is>
          <t>2026-03-20</t>
        </is>
      </c>
      <c r="J2" s="7" t="inlineStr">
        <is>
          <t>PAGADO</t>
        </is>
      </c>
    </row>
    <row r="3">
      <c r="A3" s="6" t="inlineStr">
        <is>
          <t>2026-03-05</t>
        </is>
      </c>
      <c r="B3" s="2" t="inlineStr">
        <is>
          <t>OC-101</t>
        </is>
      </c>
      <c r="C3" s="2" t="inlineStr">
        <is>
          <t>Textil Avellaneda</t>
        </is>
      </c>
      <c r="D3" s="2" t="inlineStr">
        <is>
          <t>REM-002</t>
        </is>
      </c>
      <c r="E3" s="2" t="inlineStr">
        <is>
          <t>Remera Algodón Básica</t>
        </is>
      </c>
      <c r="F3" s="5" t="n">
        <v>23</v>
      </c>
      <c r="G3" s="3" t="n">
        <v>4140</v>
      </c>
      <c r="H3" s="3" t="n">
        <v>95220</v>
      </c>
      <c r="I3" s="6" t="inlineStr">
        <is>
          <t>2026-03-20</t>
        </is>
      </c>
      <c r="J3" s="7" t="inlineStr">
        <is>
          <t>PAGADO</t>
        </is>
      </c>
    </row>
    <row r="4">
      <c r="A4" s="6" t="inlineStr">
        <is>
          <t>2026-03-05</t>
        </is>
      </c>
      <c r="B4" s="2" t="inlineStr">
        <is>
          <t>OC-101</t>
        </is>
      </c>
      <c r="C4" s="2" t="inlineStr">
        <is>
          <t>Estampados JC</t>
        </is>
      </c>
      <c r="D4" s="2" t="inlineStr">
        <is>
          <t>REM-003</t>
        </is>
      </c>
      <c r="E4" s="2" t="inlineStr">
        <is>
          <t>Remera Estampada Urban</t>
        </is>
      </c>
      <c r="F4" s="5" t="n">
        <v>30</v>
      </c>
      <c r="G4" s="3" t="n">
        <v>5060</v>
      </c>
      <c r="H4" s="3" t="n">
        <v>151800</v>
      </c>
      <c r="I4" s="6" t="inlineStr">
        <is>
          <t>2026-03-20</t>
        </is>
      </c>
      <c r="J4" s="7" t="inlineStr">
        <is>
          <t>PAGADO</t>
        </is>
      </c>
    </row>
    <row r="5">
      <c r="A5" s="6" t="inlineStr">
        <is>
          <t>2026-03-05</t>
        </is>
      </c>
      <c r="B5" s="2" t="inlineStr">
        <is>
          <t>OC-101</t>
        </is>
      </c>
      <c r="C5" s="2" t="inlineStr">
        <is>
          <t>Estampados JC</t>
        </is>
      </c>
      <c r="D5" s="2" t="inlineStr">
        <is>
          <t>REM-004</t>
        </is>
      </c>
      <c r="E5" s="2" t="inlineStr">
        <is>
          <t>Remera Oversize Vint</t>
        </is>
      </c>
      <c r="F5" s="5" t="n">
        <v>19</v>
      </c>
      <c r="G5" s="3" t="n">
        <v>5704</v>
      </c>
      <c r="H5" s="3" t="n">
        <v>108376</v>
      </c>
      <c r="I5" s="6" t="inlineStr">
        <is>
          <t>2026-03-20</t>
        </is>
      </c>
      <c r="J5" s="7" t="inlineStr">
        <is>
          <t>PAGADO</t>
        </is>
      </c>
    </row>
    <row r="6">
      <c r="A6" s="6" t="inlineStr">
        <is>
          <t>2026-03-05</t>
        </is>
      </c>
      <c r="B6" s="2" t="inlineStr">
        <is>
          <t>OC-101</t>
        </is>
      </c>
      <c r="C6" s="2" t="inlineStr">
        <is>
          <t>Confecciones Delta</t>
        </is>
      </c>
      <c r="D6" s="2" t="inlineStr">
        <is>
          <t>BUZ-001</t>
        </is>
      </c>
      <c r="E6" s="2" t="inlineStr">
        <is>
          <t>Buzo Canguro con Frisa</t>
        </is>
      </c>
      <c r="F6" s="5" t="n">
        <v>29</v>
      </c>
      <c r="G6" s="3" t="n">
        <v>11960</v>
      </c>
      <c r="H6" s="3" t="n">
        <v>346840</v>
      </c>
      <c r="I6" s="6" t="inlineStr">
        <is>
          <t>2026-03-20</t>
        </is>
      </c>
      <c r="J6" s="7" t="inlineStr">
        <is>
          <t>PAGADO</t>
        </is>
      </c>
    </row>
    <row r="7">
      <c r="A7" s="6" t="inlineStr">
        <is>
          <t>2026-03-05</t>
        </is>
      </c>
      <c r="B7" s="2" t="inlineStr">
        <is>
          <t>OC-101</t>
        </is>
      </c>
      <c r="C7" s="2" t="inlineStr">
        <is>
          <t>Confecciones Delta</t>
        </is>
      </c>
      <c r="D7" s="2" t="inlineStr">
        <is>
          <t>BUZ-002</t>
        </is>
      </c>
      <c r="E7" s="2" t="inlineStr">
        <is>
          <t>Buzo Canguro con Frisa</t>
        </is>
      </c>
      <c r="F7" s="5" t="n">
        <v>16</v>
      </c>
      <c r="G7" s="3" t="n">
        <v>11960</v>
      </c>
      <c r="H7" s="3" t="n">
        <v>191360</v>
      </c>
      <c r="I7" s="6" t="inlineStr">
        <is>
          <t>2026-03-20</t>
        </is>
      </c>
      <c r="J7" s="7" t="inlineStr">
        <is>
          <t>PAGADO</t>
        </is>
      </c>
    </row>
    <row r="8">
      <c r="A8" s="6" t="inlineStr">
        <is>
          <t>2026-03-05</t>
        </is>
      </c>
      <c r="B8" s="2" t="inlineStr">
        <is>
          <t>OC-101</t>
        </is>
      </c>
      <c r="C8" s="2" t="inlineStr">
        <is>
          <t>Sudaderas Arg</t>
        </is>
      </c>
      <c r="D8" s="2" t="inlineStr">
        <is>
          <t>BUZ-003</t>
        </is>
      </c>
      <c r="E8" s="2" t="inlineStr">
        <is>
          <t>Buzo Cuello Redondo Premium</t>
        </is>
      </c>
      <c r="F8" s="5" t="n">
        <v>19</v>
      </c>
      <c r="G8" s="3" t="n">
        <v>13340</v>
      </c>
      <c r="H8" s="3" t="n">
        <v>253460</v>
      </c>
      <c r="I8" s="6" t="inlineStr">
        <is>
          <t>2026-03-20</t>
        </is>
      </c>
      <c r="J8" s="7" t="inlineStr">
        <is>
          <t>PAGADO</t>
        </is>
      </c>
    </row>
    <row r="9">
      <c r="A9" s="6" t="inlineStr">
        <is>
          <t>2026-03-05</t>
        </is>
      </c>
      <c r="B9" s="2" t="inlineStr">
        <is>
          <t>OC-101</t>
        </is>
      </c>
      <c r="C9" s="2" t="inlineStr">
        <is>
          <t>Abrigos Polar Sur</t>
        </is>
      </c>
      <c r="D9" s="2" t="inlineStr">
        <is>
          <t>CAM-001</t>
        </is>
      </c>
      <c r="E9" s="2" t="inlineStr">
        <is>
          <t>Campera Trucker Impermeable</t>
        </is>
      </c>
      <c r="F9" s="5" t="n">
        <v>26</v>
      </c>
      <c r="G9" s="3" t="n">
        <v>23920</v>
      </c>
      <c r="H9" s="3" t="n">
        <v>621920</v>
      </c>
      <c r="I9" s="6" t="inlineStr">
        <is>
          <t>2026-03-20</t>
        </is>
      </c>
      <c r="J9" s="7" t="inlineStr">
        <is>
          <t>PAGADO</t>
        </is>
      </c>
    </row>
    <row r="10">
      <c r="A10" s="6" t="inlineStr">
        <is>
          <t>2026-03-05</t>
        </is>
      </c>
      <c r="B10" s="2" t="inlineStr">
        <is>
          <t>OC-101</t>
        </is>
      </c>
      <c r="C10" s="2" t="inlineStr">
        <is>
          <t>Abrigos Polar Sur</t>
        </is>
      </c>
      <c r="D10" s="2" t="inlineStr">
        <is>
          <t>CAM-002</t>
        </is>
      </c>
      <c r="E10" s="2" t="inlineStr">
        <is>
          <t>Campera de Abrigo Invierno</t>
        </is>
      </c>
      <c r="F10" s="5" t="n">
        <v>21</v>
      </c>
      <c r="G10" s="3" t="n">
        <v>31280</v>
      </c>
      <c r="H10" s="3" t="n">
        <v>656880</v>
      </c>
      <c r="I10" s="6" t="inlineStr">
        <is>
          <t>2026-03-20</t>
        </is>
      </c>
      <c r="J10" s="7" t="inlineStr">
        <is>
          <t>PAGADO</t>
        </is>
      </c>
    </row>
    <row r="11">
      <c r="A11" s="6" t="inlineStr">
        <is>
          <t>2026-03-05</t>
        </is>
      </c>
      <c r="B11" s="2" t="inlineStr">
        <is>
          <t>OC-101</t>
        </is>
      </c>
      <c r="C11" s="2" t="inlineStr">
        <is>
          <t>Textil Avellaneda</t>
        </is>
      </c>
      <c r="D11" s="2" t="inlineStr">
        <is>
          <t>CAM-003</t>
        </is>
      </c>
      <c r="E11" s="2" t="inlineStr">
        <is>
          <t>Campera Rompevientos Light</t>
        </is>
      </c>
      <c r="F11" s="5" t="n">
        <v>30</v>
      </c>
      <c r="G11" s="3" t="n">
        <v>14720</v>
      </c>
      <c r="H11" s="3" t="n">
        <v>441600</v>
      </c>
      <c r="I11" s="6" t="inlineStr">
        <is>
          <t>2026-03-20</t>
        </is>
      </c>
      <c r="J11" s="7" t="inlineStr">
        <is>
          <t>PAGADO</t>
        </is>
      </c>
    </row>
    <row r="12">
      <c r="A12" s="6" t="inlineStr">
        <is>
          <t>2026-03-05</t>
        </is>
      </c>
      <c r="B12" s="2" t="inlineStr">
        <is>
          <t>OC-101</t>
        </is>
      </c>
      <c r="C12" s="2" t="inlineStr">
        <is>
          <t>Jeans del Oeste</t>
        </is>
      </c>
      <c r="D12" s="2" t="inlineStr">
        <is>
          <t>PAN-001</t>
        </is>
      </c>
      <c r="E12" s="2" t="inlineStr">
        <is>
          <t>Pantalón Jean Chupín</t>
        </is>
      </c>
      <c r="F12" s="5" t="n">
        <v>21</v>
      </c>
      <c r="G12" s="3" t="n">
        <v>15180</v>
      </c>
      <c r="H12" s="3" t="n">
        <v>318780</v>
      </c>
      <c r="I12" s="6" t="inlineStr">
        <is>
          <t>2026-03-20</t>
        </is>
      </c>
      <c r="J12" s="7" t="inlineStr">
        <is>
          <t>PAGADO</t>
        </is>
      </c>
    </row>
    <row r="13">
      <c r="A13" s="6" t="inlineStr">
        <is>
          <t>2026-03-05</t>
        </is>
      </c>
      <c r="B13" s="2" t="inlineStr">
        <is>
          <t>OC-101</t>
        </is>
      </c>
      <c r="C13" s="2" t="inlineStr">
        <is>
          <t>Jeans del Oeste</t>
        </is>
      </c>
      <c r="D13" s="2" t="inlineStr">
        <is>
          <t>PAN-002</t>
        </is>
      </c>
      <c r="E13" s="2" t="inlineStr">
        <is>
          <t>Pantalón Jean Recto</t>
        </is>
      </c>
      <c r="F13" s="5" t="n">
        <v>26</v>
      </c>
      <c r="G13" s="3" t="n">
        <v>15180</v>
      </c>
      <c r="H13" s="3" t="n">
        <v>394680</v>
      </c>
      <c r="I13" s="6" t="inlineStr">
        <is>
          <t>2026-03-20</t>
        </is>
      </c>
      <c r="J13" s="7" t="inlineStr">
        <is>
          <t>PAGADO</t>
        </is>
      </c>
    </row>
    <row r="14">
      <c r="A14" s="6" t="inlineStr">
        <is>
          <t>2026-03-05</t>
        </is>
      </c>
      <c r="B14" s="2" t="inlineStr">
        <is>
          <t>OC-101</t>
        </is>
      </c>
      <c r="C14" s="2" t="inlineStr">
        <is>
          <t>Confecciones Delta</t>
        </is>
      </c>
      <c r="D14" s="2" t="inlineStr">
        <is>
          <t>PAN-003</t>
        </is>
      </c>
      <c r="E14" s="2" t="inlineStr">
        <is>
          <t>Pantalón Cargo Gabardina</t>
        </is>
      </c>
      <c r="F14" s="5" t="n">
        <v>25</v>
      </c>
      <c r="G14" s="3" t="n">
        <v>13800</v>
      </c>
      <c r="H14" s="3" t="n">
        <v>345000</v>
      </c>
      <c r="I14" s="6" t="inlineStr">
        <is>
          <t>2026-03-20</t>
        </is>
      </c>
      <c r="J14" s="7" t="inlineStr">
        <is>
          <t>PAGADO</t>
        </is>
      </c>
    </row>
    <row r="15">
      <c r="A15" s="6" t="inlineStr">
        <is>
          <t>2026-03-05</t>
        </is>
      </c>
      <c r="B15" s="2" t="inlineStr">
        <is>
          <t>OC-101</t>
        </is>
      </c>
      <c r="C15" s="2" t="inlineStr">
        <is>
          <t>Lycra Activa</t>
        </is>
      </c>
      <c r="D15" s="2" t="inlineStr">
        <is>
          <t>CAL-001</t>
        </is>
      </c>
      <c r="E15" s="2" t="inlineStr">
        <is>
          <t>Calza Deportiva Alta Cintura</t>
        </is>
      </c>
      <c r="F15" s="5" t="n">
        <v>21</v>
      </c>
      <c r="G15" s="3" t="n">
        <v>7820</v>
      </c>
      <c r="H15" s="3" t="n">
        <v>164220</v>
      </c>
      <c r="I15" s="6" t="inlineStr">
        <is>
          <t>2026-03-20</t>
        </is>
      </c>
      <c r="J15" s="7" t="inlineStr">
        <is>
          <t>PAGADO</t>
        </is>
      </c>
    </row>
    <row r="16">
      <c r="A16" s="6" t="inlineStr">
        <is>
          <t>2026-03-05</t>
        </is>
      </c>
      <c r="B16" s="2" t="inlineStr">
        <is>
          <t>OC-101</t>
        </is>
      </c>
      <c r="C16" s="2" t="inlineStr">
        <is>
          <t>Lycra Activa</t>
        </is>
      </c>
      <c r="D16" s="2" t="inlineStr">
        <is>
          <t>CAL-002</t>
        </is>
      </c>
      <c r="E16" s="2" t="inlineStr">
        <is>
          <t>Calza Short Deportiva</t>
        </is>
      </c>
      <c r="F16" s="5" t="n">
        <v>25</v>
      </c>
      <c r="G16" s="3" t="n">
        <v>6256</v>
      </c>
      <c r="H16" s="3" t="n">
        <v>156400</v>
      </c>
      <c r="I16" s="6" t="inlineStr">
        <is>
          <t>2026-03-20</t>
        </is>
      </c>
      <c r="J16" s="7" t="inlineStr">
        <is>
          <t>PAGADO</t>
        </is>
      </c>
    </row>
    <row r="17">
      <c r="A17" s="6" t="inlineStr">
        <is>
          <t>2026-03-05</t>
        </is>
      </c>
      <c r="B17" s="2" t="inlineStr">
        <is>
          <t>OC-101</t>
        </is>
      </c>
      <c r="C17" s="2" t="inlineStr">
        <is>
          <t>Lycra Activa</t>
        </is>
      </c>
      <c r="D17" s="2" t="inlineStr">
        <is>
          <t>TOP-001</t>
        </is>
      </c>
      <c r="E17" s="2" t="inlineStr">
        <is>
          <t>Top Deportivo Suplex</t>
        </is>
      </c>
      <c r="F17" s="5" t="n">
        <v>23</v>
      </c>
      <c r="G17" s="3" t="n">
        <v>5060</v>
      </c>
      <c r="H17" s="3" t="n">
        <v>116380</v>
      </c>
      <c r="I17" s="6" t="inlineStr">
        <is>
          <t>2026-03-20</t>
        </is>
      </c>
      <c r="J17" s="7" t="inlineStr">
        <is>
          <t>PAGADO</t>
        </is>
      </c>
    </row>
    <row r="18">
      <c r="A18" s="6" t="inlineStr">
        <is>
          <t>2026-03-05</t>
        </is>
      </c>
      <c r="B18" s="2" t="inlineStr">
        <is>
          <t>OC-101</t>
        </is>
      </c>
      <c r="C18" s="2" t="inlineStr">
        <is>
          <t>Lycra Activa</t>
        </is>
      </c>
      <c r="D18" s="2" t="inlineStr">
        <is>
          <t>TOP-002</t>
        </is>
      </c>
      <c r="E18" s="2" t="inlineStr">
        <is>
          <t>Top Fitness Seamless</t>
        </is>
      </c>
      <c r="F18" s="5" t="n">
        <v>17</v>
      </c>
      <c r="G18" s="3" t="n">
        <v>5704</v>
      </c>
      <c r="H18" s="3" t="n">
        <v>96968</v>
      </c>
      <c r="I18" s="6" t="inlineStr">
        <is>
          <t>2026-03-20</t>
        </is>
      </c>
      <c r="J18" s="7" t="inlineStr">
        <is>
          <t>PAGADO</t>
        </is>
      </c>
    </row>
    <row r="19">
      <c r="A19" s="6" t="inlineStr">
        <is>
          <t>2026-03-05</t>
        </is>
      </c>
      <c r="B19" s="2" t="inlineStr">
        <is>
          <t>OC-101</t>
        </is>
      </c>
      <c r="C19" s="2" t="inlineStr">
        <is>
          <t>Medias Ciudad</t>
        </is>
      </c>
      <c r="D19" s="2" t="inlineStr">
        <is>
          <t>MED-001</t>
        </is>
      </c>
      <c r="E19" s="2" t="inlineStr">
        <is>
          <t>Medias Element Pack x3</t>
        </is>
      </c>
      <c r="F19" s="5" t="n">
        <v>17</v>
      </c>
      <c r="G19" s="3" t="n">
        <v>1748</v>
      </c>
      <c r="H19" s="3" t="n">
        <v>29716</v>
      </c>
      <c r="I19" s="6" t="inlineStr">
        <is>
          <t>2026-03-20</t>
        </is>
      </c>
      <c r="J19" s="7" t="inlineStr">
        <is>
          <t>PAGADO</t>
        </is>
      </c>
    </row>
    <row r="20">
      <c r="A20" s="6" t="inlineStr">
        <is>
          <t>2026-03-05</t>
        </is>
      </c>
      <c r="B20" s="2" t="inlineStr">
        <is>
          <t>OC-101</t>
        </is>
      </c>
      <c r="C20" s="2" t="inlineStr">
        <is>
          <t>Medias Ciudad</t>
        </is>
      </c>
      <c r="D20" s="2" t="inlineStr">
        <is>
          <t>MED-002</t>
        </is>
      </c>
      <c r="E20" s="2" t="inlineStr">
        <is>
          <t>Soberanas Invisibles Pack x3</t>
        </is>
      </c>
      <c r="F20" s="5" t="n">
        <v>22</v>
      </c>
      <c r="G20" s="3" t="n">
        <v>1472</v>
      </c>
      <c r="H20" s="3" t="n">
        <v>32384</v>
      </c>
      <c r="I20" s="6" t="inlineStr">
        <is>
          <t>2026-03-20</t>
        </is>
      </c>
      <c r="J20" s="7" t="inlineStr">
        <is>
          <t>PAGADO</t>
        </is>
      </c>
    </row>
    <row r="21">
      <c r="A21" s="6" t="inlineStr">
        <is>
          <t>2026-03-05</t>
        </is>
      </c>
      <c r="B21" s="2" t="inlineStr">
        <is>
          <t>OC-101</t>
        </is>
      </c>
      <c r="C21" s="2" t="inlineStr">
        <is>
          <t>Importaciones Baires</t>
        </is>
      </c>
      <c r="D21" s="2" t="inlineStr">
        <is>
          <t>ACC-001</t>
        </is>
      </c>
      <c r="E21" s="2" t="inlineStr">
        <is>
          <t>Gorra Trucker Urbana</t>
        </is>
      </c>
      <c r="F21" s="5" t="n">
        <v>22</v>
      </c>
      <c r="G21" s="3" t="n">
        <v>3496</v>
      </c>
      <c r="H21" s="3" t="n">
        <v>76912</v>
      </c>
      <c r="I21" s="6" t="inlineStr">
        <is>
          <t>2026-03-20</t>
        </is>
      </c>
      <c r="J21" s="7" t="inlineStr">
        <is>
          <t>PAGADO</t>
        </is>
      </c>
    </row>
    <row r="22">
      <c r="A22" s="6" t="inlineStr">
        <is>
          <t>2026-03-05</t>
        </is>
      </c>
      <c r="B22" s="2" t="inlineStr">
        <is>
          <t>OC-101</t>
        </is>
      </c>
      <c r="C22" s="2" t="inlineStr">
        <is>
          <t>Confecciones Delta</t>
        </is>
      </c>
      <c r="D22" s="2" t="inlineStr">
        <is>
          <t>ACC-002</t>
        </is>
      </c>
      <c r="E22" s="2" t="inlineStr">
        <is>
          <t>Cinturón de Lona Reforzado</t>
        </is>
      </c>
      <c r="F22" s="5" t="n">
        <v>20</v>
      </c>
      <c r="G22" s="3" t="n">
        <v>2944</v>
      </c>
      <c r="H22" s="3" t="n">
        <v>58880</v>
      </c>
      <c r="I22" s="6" t="inlineStr">
        <is>
          <t>2026-03-20</t>
        </is>
      </c>
      <c r="J22" s="7" t="inlineStr">
        <is>
          <t>PAGADO</t>
        </is>
      </c>
    </row>
    <row r="23">
      <c r="A23" s="6" t="inlineStr">
        <is>
          <t>2026-04-06</t>
        </is>
      </c>
      <c r="B23" s="2" t="inlineStr">
        <is>
          <t>OC-142</t>
        </is>
      </c>
      <c r="C23" s="2" t="inlineStr">
        <is>
          <t>Abrigos Polar Sur</t>
        </is>
      </c>
      <c r="D23" s="2" t="inlineStr">
        <is>
          <t>CAM-002</t>
        </is>
      </c>
      <c r="E23" s="2" t="inlineStr">
        <is>
          <t>Campera de Abrigo Invierno</t>
        </is>
      </c>
      <c r="F23" s="5" t="n">
        <v>40</v>
      </c>
      <c r="G23" s="3" t="n">
        <v>34000</v>
      </c>
      <c r="H23" s="3" t="n">
        <v>1360000</v>
      </c>
      <c r="I23" s="6" t="inlineStr">
        <is>
          <t>2026-04-21</t>
        </is>
      </c>
      <c r="J23" s="7" t="inlineStr">
        <is>
          <t>PAGADO</t>
        </is>
      </c>
    </row>
    <row r="24">
      <c r="A24" s="6" t="inlineStr">
        <is>
          <t>2026-04-12</t>
        </is>
      </c>
      <c r="B24" s="2" t="inlineStr">
        <is>
          <t>OC-143</t>
        </is>
      </c>
      <c r="C24" s="2" t="inlineStr">
        <is>
          <t>Textil Avellaneda</t>
        </is>
      </c>
      <c r="D24" s="2" t="inlineStr">
        <is>
          <t>REM-001</t>
        </is>
      </c>
      <c r="E24" s="2" t="inlineStr">
        <is>
          <t>Remera Algodón Básica</t>
        </is>
      </c>
      <c r="F24" s="5" t="n">
        <v>10</v>
      </c>
      <c r="G24" s="3" t="n">
        <v>4500</v>
      </c>
      <c r="H24" s="3" t="n">
        <v>45000</v>
      </c>
      <c r="I24" s="6" t="inlineStr">
        <is>
          <t>2026-04-27</t>
        </is>
      </c>
      <c r="J24" s="7" t="inlineStr">
        <is>
          <t>PAGADO</t>
        </is>
      </c>
    </row>
    <row r="25">
      <c r="A25" s="6" t="inlineStr">
        <is>
          <t>2026-04-12</t>
        </is>
      </c>
      <c r="B25" s="2" t="inlineStr">
        <is>
          <t>OC-143</t>
        </is>
      </c>
      <c r="C25" s="2" t="inlineStr">
        <is>
          <t>Confecciones Delta</t>
        </is>
      </c>
      <c r="D25" s="2" t="inlineStr">
        <is>
          <t>BUZ-001</t>
        </is>
      </c>
      <c r="E25" s="2" t="inlineStr">
        <is>
          <t>Buzo Canguro con Frisa</t>
        </is>
      </c>
      <c r="F25" s="5" t="n">
        <v>10</v>
      </c>
      <c r="G25" s="3" t="n">
        <v>13000</v>
      </c>
      <c r="H25" s="3" t="n">
        <v>130000</v>
      </c>
      <c r="I25" s="6" t="inlineStr">
        <is>
          <t>2026-04-27</t>
        </is>
      </c>
      <c r="J25" s="7" t="inlineStr">
        <is>
          <t>PAGADO</t>
        </is>
      </c>
    </row>
    <row r="26">
      <c r="A26" s="6" t="inlineStr">
        <is>
          <t>2026-04-12</t>
        </is>
      </c>
      <c r="B26" s="2" t="inlineStr">
        <is>
          <t>OC-143</t>
        </is>
      </c>
      <c r="C26" s="2" t="inlineStr">
        <is>
          <t>Jeans del Oeste</t>
        </is>
      </c>
      <c r="D26" s="2" t="inlineStr">
        <is>
          <t>PAN-001</t>
        </is>
      </c>
      <c r="E26" s="2" t="inlineStr">
        <is>
          <t>Pantalón Jean Chupín</t>
        </is>
      </c>
      <c r="F26" s="5" t="n">
        <v>10</v>
      </c>
      <c r="G26" s="3" t="n">
        <v>16500</v>
      </c>
      <c r="H26" s="3" t="n">
        <v>165000</v>
      </c>
      <c r="I26" s="6" t="inlineStr">
        <is>
          <t>2026-04-27</t>
        </is>
      </c>
      <c r="J26" s="7" t="inlineStr">
        <is>
          <t>PAGADO</t>
        </is>
      </c>
    </row>
    <row r="27">
      <c r="A27" s="6" t="inlineStr">
        <is>
          <t>2026-04-15</t>
        </is>
      </c>
      <c r="B27" s="2" t="inlineStr">
        <is>
          <t>OC-144</t>
        </is>
      </c>
      <c r="C27" s="2" t="inlineStr">
        <is>
          <t>Textil Avellaneda</t>
        </is>
      </c>
      <c r="D27" s="2" t="inlineStr">
        <is>
          <t>REM-002</t>
        </is>
      </c>
      <c r="E27" s="2" t="inlineStr">
        <is>
          <t>Remera Algodón Básica</t>
        </is>
      </c>
      <c r="F27" s="5" t="n">
        <v>13</v>
      </c>
      <c r="G27" s="3" t="n">
        <v>4500</v>
      </c>
      <c r="H27" s="3" t="n">
        <v>58500</v>
      </c>
      <c r="I27" s="6" t="inlineStr">
        <is>
          <t>2026-04-30</t>
        </is>
      </c>
      <c r="J27" s="7" t="inlineStr">
        <is>
          <t>PAGADO</t>
        </is>
      </c>
    </row>
    <row r="28">
      <c r="A28" s="6" t="inlineStr">
        <is>
          <t>2026-04-15</t>
        </is>
      </c>
      <c r="B28" s="2" t="inlineStr">
        <is>
          <t>OC-144</t>
        </is>
      </c>
      <c r="C28" s="2" t="inlineStr">
        <is>
          <t>Estampados JC</t>
        </is>
      </c>
      <c r="D28" s="2" t="inlineStr">
        <is>
          <t>REM-004</t>
        </is>
      </c>
      <c r="E28" s="2" t="inlineStr">
        <is>
          <t>Remera Oversize Vint</t>
        </is>
      </c>
      <c r="F28" s="5" t="n">
        <v>18</v>
      </c>
      <c r="G28" s="3" t="n">
        <v>6200</v>
      </c>
      <c r="H28" s="3" t="n">
        <v>111600</v>
      </c>
      <c r="I28" s="6" t="inlineStr">
        <is>
          <t>2026-04-30</t>
        </is>
      </c>
      <c r="J28" s="7" t="inlineStr">
        <is>
          <t>PAGADO</t>
        </is>
      </c>
    </row>
    <row r="29">
      <c r="A29" s="6" t="inlineStr">
        <is>
          <t>2026-04-15</t>
        </is>
      </c>
      <c r="B29" s="2" t="inlineStr">
        <is>
          <t>OC-144</t>
        </is>
      </c>
      <c r="C29" s="2" t="inlineStr">
        <is>
          <t>Confecciones Delta</t>
        </is>
      </c>
      <c r="D29" s="2" t="inlineStr">
        <is>
          <t>BUZ-002</t>
        </is>
      </c>
      <c r="E29" s="2" t="inlineStr">
        <is>
          <t>Buzo Canguro con Frisa</t>
        </is>
      </c>
      <c r="F29" s="5" t="n">
        <v>17</v>
      </c>
      <c r="G29" s="3" t="n">
        <v>13000</v>
      </c>
      <c r="H29" s="3" t="n">
        <v>221000</v>
      </c>
      <c r="I29" s="6" t="inlineStr">
        <is>
          <t>2026-04-30</t>
        </is>
      </c>
      <c r="J29" s="7" t="inlineStr">
        <is>
          <t>PAGADO</t>
        </is>
      </c>
    </row>
    <row r="30">
      <c r="A30" s="6" t="inlineStr">
        <is>
          <t>2026-04-15</t>
        </is>
      </c>
      <c r="B30" s="2" t="inlineStr">
        <is>
          <t>OC-144</t>
        </is>
      </c>
      <c r="C30" s="2" t="inlineStr">
        <is>
          <t>Abrigos Polar Sur</t>
        </is>
      </c>
      <c r="D30" s="2" t="inlineStr">
        <is>
          <t>CAM-001</t>
        </is>
      </c>
      <c r="E30" s="2" t="inlineStr">
        <is>
          <t>Campera Trucker Impermeable</t>
        </is>
      </c>
      <c r="F30" s="5" t="n">
        <v>11</v>
      </c>
      <c r="G30" s="3" t="n">
        <v>26000</v>
      </c>
      <c r="H30" s="3" t="n">
        <v>286000</v>
      </c>
      <c r="I30" s="6" t="inlineStr">
        <is>
          <t>2026-04-30</t>
        </is>
      </c>
      <c r="J30" s="7" t="inlineStr">
        <is>
          <t>PAGADO</t>
        </is>
      </c>
    </row>
    <row r="31">
      <c r="A31" s="6" t="inlineStr">
        <is>
          <t>2026-04-15</t>
        </is>
      </c>
      <c r="B31" s="2" t="inlineStr">
        <is>
          <t>OC-144</t>
        </is>
      </c>
      <c r="C31" s="2" t="inlineStr">
        <is>
          <t>Lycra Activa</t>
        </is>
      </c>
      <c r="D31" s="2" t="inlineStr">
        <is>
          <t>CAL-001</t>
        </is>
      </c>
      <c r="E31" s="2" t="inlineStr">
        <is>
          <t>Calza Deportiva Alta Cintura</t>
        </is>
      </c>
      <c r="F31" s="5" t="n">
        <v>10</v>
      </c>
      <c r="G31" s="3" t="n">
        <v>8500</v>
      </c>
      <c r="H31" s="3" t="n">
        <v>85000</v>
      </c>
      <c r="I31" s="6" t="inlineStr">
        <is>
          <t>2026-04-30</t>
        </is>
      </c>
      <c r="J31" s="7" t="inlineStr">
        <is>
          <t>PAGADO</t>
        </is>
      </c>
    </row>
    <row r="32">
      <c r="A32" s="6" t="inlineStr">
        <is>
          <t>2026-04-15</t>
        </is>
      </c>
      <c r="B32" s="2" t="inlineStr">
        <is>
          <t>OC-144</t>
        </is>
      </c>
      <c r="C32" s="2" t="inlineStr">
        <is>
          <t>Lycra Activa</t>
        </is>
      </c>
      <c r="D32" s="2" t="inlineStr">
        <is>
          <t>CAL-002</t>
        </is>
      </c>
      <c r="E32" s="2" t="inlineStr">
        <is>
          <t>Calza Short Deportiva</t>
        </is>
      </c>
      <c r="F32" s="5" t="n">
        <v>15</v>
      </c>
      <c r="G32" s="3" t="n">
        <v>6800</v>
      </c>
      <c r="H32" s="3" t="n">
        <v>102000</v>
      </c>
      <c r="I32" s="6" t="inlineStr">
        <is>
          <t>2026-04-30</t>
        </is>
      </c>
      <c r="J32" s="7" t="inlineStr">
        <is>
          <t>PAGADO</t>
        </is>
      </c>
    </row>
    <row r="33">
      <c r="A33" s="6" t="inlineStr">
        <is>
          <t>2026-04-15</t>
        </is>
      </c>
      <c r="B33" s="2" t="inlineStr">
        <is>
          <t>OC-144</t>
        </is>
      </c>
      <c r="C33" s="2" t="inlineStr">
        <is>
          <t>Lycra Activa</t>
        </is>
      </c>
      <c r="D33" s="2" t="inlineStr">
        <is>
          <t>TOP-001</t>
        </is>
      </c>
      <c r="E33" s="2" t="inlineStr">
        <is>
          <t>Top Deportivo Suplex</t>
        </is>
      </c>
      <c r="F33" s="5" t="n">
        <v>13</v>
      </c>
      <c r="G33" s="3" t="n">
        <v>5500</v>
      </c>
      <c r="H33" s="3" t="n">
        <v>71500</v>
      </c>
      <c r="I33" s="6" t="inlineStr">
        <is>
          <t>2026-04-30</t>
        </is>
      </c>
      <c r="J33" s="7" t="inlineStr">
        <is>
          <t>PAGADO</t>
        </is>
      </c>
    </row>
    <row r="34">
      <c r="A34" s="6" t="inlineStr">
        <is>
          <t>2026-04-15</t>
        </is>
      </c>
      <c r="B34" s="2" t="inlineStr">
        <is>
          <t>OC-144</t>
        </is>
      </c>
      <c r="C34" s="2" t="inlineStr">
        <is>
          <t>Lycra Activa</t>
        </is>
      </c>
      <c r="D34" s="2" t="inlineStr">
        <is>
          <t>TOP-002</t>
        </is>
      </c>
      <c r="E34" s="2" t="inlineStr">
        <is>
          <t>Top Fitness Seamless</t>
        </is>
      </c>
      <c r="F34" s="5" t="n">
        <v>16</v>
      </c>
      <c r="G34" s="3" t="n">
        <v>6200</v>
      </c>
      <c r="H34" s="3" t="n">
        <v>99200</v>
      </c>
      <c r="I34" s="6" t="inlineStr">
        <is>
          <t>2026-04-30</t>
        </is>
      </c>
      <c r="J34" s="7" t="inlineStr">
        <is>
          <t>PAGADO</t>
        </is>
      </c>
    </row>
    <row r="35">
      <c r="A35" s="6" t="inlineStr">
        <is>
          <t>2026-04-15</t>
        </is>
      </c>
      <c r="B35" s="2" t="inlineStr">
        <is>
          <t>OC-144</t>
        </is>
      </c>
      <c r="C35" s="2" t="inlineStr">
        <is>
          <t>Medias Ciudad</t>
        </is>
      </c>
      <c r="D35" s="2" t="inlineStr">
        <is>
          <t>MED-001</t>
        </is>
      </c>
      <c r="E35" s="2" t="inlineStr">
        <is>
          <t>Medias Element Pack x3</t>
        </is>
      </c>
      <c r="F35" s="5" t="n">
        <v>11</v>
      </c>
      <c r="G35" s="3" t="n">
        <v>1900</v>
      </c>
      <c r="H35" s="3" t="n">
        <v>20900</v>
      </c>
      <c r="I35" s="6" t="inlineStr">
        <is>
          <t>2026-04-30</t>
        </is>
      </c>
      <c r="J35" s="7" t="inlineStr">
        <is>
          <t>PAGADO</t>
        </is>
      </c>
    </row>
    <row r="36">
      <c r="A36" s="6" t="inlineStr">
        <is>
          <t>2026-04-15</t>
        </is>
      </c>
      <c r="B36" s="2" t="inlineStr">
        <is>
          <t>OC-144</t>
        </is>
      </c>
      <c r="C36" s="2" t="inlineStr">
        <is>
          <t>Medias Ciudad</t>
        </is>
      </c>
      <c r="D36" s="2" t="inlineStr">
        <is>
          <t>MED-002</t>
        </is>
      </c>
      <c r="E36" s="2" t="inlineStr">
        <is>
          <t>Soberanas Invisibles Pack x3</t>
        </is>
      </c>
      <c r="F36" s="5" t="n">
        <v>12</v>
      </c>
      <c r="G36" s="3" t="n">
        <v>1600</v>
      </c>
      <c r="H36" s="3" t="n">
        <v>19200</v>
      </c>
      <c r="I36" s="6" t="inlineStr">
        <is>
          <t>2026-04-30</t>
        </is>
      </c>
      <c r="J36" s="7" t="inlineStr">
        <is>
          <t>PAGADO</t>
        </is>
      </c>
    </row>
    <row r="37">
      <c r="A37" s="6" t="inlineStr">
        <is>
          <t>2026-04-15</t>
        </is>
      </c>
      <c r="B37" s="2" t="inlineStr">
        <is>
          <t>OC-144</t>
        </is>
      </c>
      <c r="C37" s="2" t="inlineStr">
        <is>
          <t>Importaciones Baires</t>
        </is>
      </c>
      <c r="D37" s="2" t="inlineStr">
        <is>
          <t>ACC-001</t>
        </is>
      </c>
      <c r="E37" s="2" t="inlineStr">
        <is>
          <t>Gorra Trucker Urbana</t>
        </is>
      </c>
      <c r="F37" s="5" t="n">
        <v>11</v>
      </c>
      <c r="G37" s="3" t="n">
        <v>3800</v>
      </c>
      <c r="H37" s="3" t="n">
        <v>41800</v>
      </c>
      <c r="I37" s="6" t="inlineStr">
        <is>
          <t>2026-04-30</t>
        </is>
      </c>
      <c r="J37" s="7" t="inlineStr">
        <is>
          <t>PAGADO</t>
        </is>
      </c>
    </row>
    <row r="38">
      <c r="A38" s="6" t="inlineStr">
        <is>
          <t>2026-05-08</t>
        </is>
      </c>
      <c r="B38" s="2" t="inlineStr">
        <is>
          <t>OC-190</t>
        </is>
      </c>
      <c r="C38" s="2" t="inlineStr">
        <is>
          <t>Textil Avellaneda</t>
        </is>
      </c>
      <c r="D38" s="2" t="inlineStr">
        <is>
          <t>REM-001</t>
        </is>
      </c>
      <c r="E38" s="2" t="inlineStr">
        <is>
          <t>Remera Algodón Básica</t>
        </is>
      </c>
      <c r="F38" s="5" t="n">
        <v>5</v>
      </c>
      <c r="G38" s="3" t="n">
        <v>4815</v>
      </c>
      <c r="H38" s="3" t="n">
        <v>24075</v>
      </c>
      <c r="I38" s="6" t="inlineStr">
        <is>
          <t>2026-05-23</t>
        </is>
      </c>
      <c r="J38" s="8" t="inlineStr">
        <is>
          <t>PENDIENTE</t>
        </is>
      </c>
    </row>
    <row r="39">
      <c r="A39" s="6" t="inlineStr">
        <is>
          <t>2026-05-08</t>
        </is>
      </c>
      <c r="B39" s="2" t="inlineStr">
        <is>
          <t>OC-190</t>
        </is>
      </c>
      <c r="C39" s="2" t="inlineStr">
        <is>
          <t>Jeans del Oeste</t>
        </is>
      </c>
      <c r="D39" s="2" t="inlineStr">
        <is>
          <t>PAN-001</t>
        </is>
      </c>
      <c r="E39" s="2" t="inlineStr">
        <is>
          <t>Pantalón Jean Chupín</t>
        </is>
      </c>
      <c r="F39" s="5" t="n">
        <v>5</v>
      </c>
      <c r="G39" s="3" t="n">
        <v>17655</v>
      </c>
      <c r="H39" s="3" t="n">
        <v>88275</v>
      </c>
      <c r="I39" s="6" t="inlineStr">
        <is>
          <t>2026-05-23</t>
        </is>
      </c>
      <c r="J39" s="8" t="inlineStr">
        <is>
          <t>PENDIENTE</t>
        </is>
      </c>
    </row>
    <row r="40">
      <c r="A40" s="6" t="inlineStr">
        <is>
          <t>2026-05-14</t>
        </is>
      </c>
      <c r="B40" s="2" t="inlineStr">
        <is>
          <t>OC-191</t>
        </is>
      </c>
      <c r="C40" s="2" t="inlineStr">
        <is>
          <t>Textil Avellaneda</t>
        </is>
      </c>
      <c r="D40" s="2" t="inlineStr">
        <is>
          <t>REM-002</t>
        </is>
      </c>
      <c r="E40" s="2" t="inlineStr">
        <is>
          <t>Remera Algodón Básica</t>
        </is>
      </c>
      <c r="F40" s="5" t="n">
        <v>8</v>
      </c>
      <c r="G40" s="3" t="n">
        <v>4815</v>
      </c>
      <c r="H40" s="3" t="n">
        <v>38520</v>
      </c>
      <c r="I40" s="6" t="inlineStr">
        <is>
          <t>2026-05-29</t>
        </is>
      </c>
      <c r="J40" s="8" t="inlineStr">
        <is>
          <t>PENDIENTE</t>
        </is>
      </c>
    </row>
    <row r="41">
      <c r="A41" s="6" t="inlineStr">
        <is>
          <t>2026-05-14</t>
        </is>
      </c>
      <c r="B41" s="2" t="inlineStr">
        <is>
          <t>OC-191</t>
        </is>
      </c>
      <c r="C41" s="2" t="inlineStr">
        <is>
          <t>Confecciones Delta</t>
        </is>
      </c>
      <c r="D41" s="2" t="inlineStr">
        <is>
          <t>BUZ-001</t>
        </is>
      </c>
      <c r="E41" s="2" t="inlineStr">
        <is>
          <t>Buzo Canguro con Frisa</t>
        </is>
      </c>
      <c r="F41" s="5" t="n">
        <v>9</v>
      </c>
      <c r="G41" s="3" t="n">
        <v>13910</v>
      </c>
      <c r="H41" s="3" t="n">
        <v>125190</v>
      </c>
      <c r="I41" s="6" t="inlineStr">
        <is>
          <t>2026-05-29</t>
        </is>
      </c>
      <c r="J41" s="8" t="inlineStr">
        <is>
          <t>PENDIENTE</t>
        </is>
      </c>
    </row>
    <row r="42">
      <c r="A42" s="6" t="inlineStr">
        <is>
          <t>2026-05-14</t>
        </is>
      </c>
      <c r="B42" s="2" t="inlineStr">
        <is>
          <t>OC-191</t>
        </is>
      </c>
      <c r="C42" s="2" t="inlineStr">
        <is>
          <t>Lycra Activa</t>
        </is>
      </c>
      <c r="D42" s="2" t="inlineStr">
        <is>
          <t>TOP-001</t>
        </is>
      </c>
      <c r="E42" s="2" t="inlineStr">
        <is>
          <t>Top Deportivo Suplex</t>
        </is>
      </c>
      <c r="F42" s="5" t="n">
        <v>5</v>
      </c>
      <c r="G42" s="3" t="n">
        <v>5885</v>
      </c>
      <c r="H42" s="3" t="n">
        <v>29425</v>
      </c>
      <c r="I42" s="6" t="inlineStr">
        <is>
          <t>2026-05-29</t>
        </is>
      </c>
      <c r="J42" s="8" t="inlineStr">
        <is>
          <t>PENDIENTE</t>
        </is>
      </c>
    </row>
    <row r="43">
      <c r="A43" s="6" t="inlineStr">
        <is>
          <t>2026-05-14</t>
        </is>
      </c>
      <c r="B43" s="2" t="inlineStr">
        <is>
          <t>OC-191</t>
        </is>
      </c>
      <c r="C43" s="2" t="inlineStr">
        <is>
          <t>Lycra Activa</t>
        </is>
      </c>
      <c r="D43" s="2" t="inlineStr">
        <is>
          <t>TOP-002</t>
        </is>
      </c>
      <c r="E43" s="2" t="inlineStr">
        <is>
          <t>Top Fitness Seamless</t>
        </is>
      </c>
      <c r="F43" s="5" t="n">
        <v>6</v>
      </c>
      <c r="G43" s="3" t="n">
        <v>6634</v>
      </c>
      <c r="H43" s="3" t="n">
        <v>39804</v>
      </c>
      <c r="I43" s="6" t="inlineStr">
        <is>
          <t>2026-05-29</t>
        </is>
      </c>
      <c r="J43" s="8" t="inlineStr">
        <is>
          <t>PENDIENTE</t>
        </is>
      </c>
    </row>
  </sheetData>
  <autoFilter ref="A1:J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3" customWidth="1" min="3" max="3"/>
    <col width="17" customWidth="1" min="4" max="4"/>
    <col width="16" customWidth="1" min="5" max="5"/>
    <col width="21" customWidth="1" min="6" max="6"/>
    <col width="17" customWidth="1" min="7" max="7"/>
    <col width="16" customWidth="1" min="8" max="8"/>
    <col width="21" customWidth="1" min="9" max="9"/>
    <col width="16" customWidth="1" min="10" max="10"/>
    <col width="15" customWidth="1" min="11" max="11"/>
    <col width="20" customWidth="1" min="12" max="12"/>
    <col width="16" customWidth="1" min="13" max="13"/>
    <col width="43" customWidth="1" min="14" max="14"/>
    <col width="18" customWidth="1" min="15" max="15"/>
  </cols>
  <sheetData>
    <row r="1" ht="26" customHeight="1">
      <c r="A1" s="1" t="inlineStr">
        <is>
          <t>sku</t>
        </is>
      </c>
      <c r="B1" s="1" t="inlineStr">
        <is>
          <t>producto</t>
        </is>
      </c>
      <c r="C1" s="1" t="inlineStr">
        <is>
          <t>stock_inicial_marzo</t>
        </is>
      </c>
      <c r="D1" s="1" t="inlineStr">
        <is>
          <t>compras_marzo</t>
        </is>
      </c>
      <c r="E1" s="1" t="inlineStr">
        <is>
          <t>ventas_marzo</t>
        </is>
      </c>
      <c r="F1" s="1" t="inlineStr">
        <is>
          <t>stock_final_marzo</t>
        </is>
      </c>
      <c r="G1" s="1" t="inlineStr">
        <is>
          <t>compras_abril</t>
        </is>
      </c>
      <c r="H1" s="1" t="inlineStr">
        <is>
          <t>ventas_abril</t>
        </is>
      </c>
      <c r="I1" s="1" t="inlineStr">
        <is>
          <t>stock_final_abril</t>
        </is>
      </c>
      <c r="J1" s="1" t="inlineStr">
        <is>
          <t>compras_mayo</t>
        </is>
      </c>
      <c r="K1" s="1" t="inlineStr">
        <is>
          <t>ventas_mayo</t>
        </is>
      </c>
      <c r="L1" s="1" t="inlineStr">
        <is>
          <t>stock_final_mayo</t>
        </is>
      </c>
      <c r="M1" s="1" t="inlineStr">
        <is>
          <t>stock_minimo</t>
        </is>
      </c>
      <c r="N1" s="1" t="inlineStr">
        <is>
          <t>valor_stock_actual</t>
        </is>
      </c>
      <c r="O1" s="1" t="inlineStr">
        <is>
          <t>estado_stock</t>
        </is>
      </c>
    </row>
    <row r="2">
      <c r="A2" s="2" t="inlineStr">
        <is>
          <t>REM-001</t>
        </is>
      </c>
      <c r="B2" s="2" t="inlineStr">
        <is>
          <t>Remera Algodón Básica</t>
        </is>
      </c>
      <c r="C2" s="5" t="n">
        <v>65</v>
      </c>
      <c r="D2" s="5" t="n">
        <v>27</v>
      </c>
      <c r="E2" s="5" t="n">
        <v>32</v>
      </c>
      <c r="F2" s="2">
        <f>C2+D2-E2</f>
        <v/>
      </c>
      <c r="G2" s="5" t="n">
        <v>10</v>
      </c>
      <c r="H2" s="5" t="n">
        <v>38</v>
      </c>
      <c r="I2" s="2">
        <f>F2+G2-H2</f>
        <v/>
      </c>
      <c r="J2" s="5" t="n">
        <v>5</v>
      </c>
      <c r="K2" s="5" t="n">
        <v>0</v>
      </c>
      <c r="L2" s="2">
        <f>I2+J2-K2</f>
        <v/>
      </c>
      <c r="M2" s="5" t="n">
        <v>60</v>
      </c>
      <c r="N2" s="9">
        <f>L2*VLOOKUP(A2,productos!A:G,7,FALSE)</f>
        <v/>
      </c>
      <c r="O2" s="10" t="inlineStr">
        <is>
          <t>bajo_minimo</t>
        </is>
      </c>
    </row>
    <row r="3">
      <c r="A3" s="2" t="inlineStr">
        <is>
          <t>REM-002</t>
        </is>
      </c>
      <c r="B3" s="2" t="inlineStr">
        <is>
          <t>Remera Algodón Básica</t>
        </is>
      </c>
      <c r="C3" s="5" t="n">
        <v>62</v>
      </c>
      <c r="D3" s="5" t="n">
        <v>23</v>
      </c>
      <c r="E3" s="5" t="n">
        <v>0</v>
      </c>
      <c r="F3" s="2">
        <f>C3+D3-E3</f>
        <v/>
      </c>
      <c r="G3" s="5" t="n">
        <v>13</v>
      </c>
      <c r="H3" s="5" t="n">
        <v>84</v>
      </c>
      <c r="I3" s="2">
        <f>F3+G3-H3</f>
        <v/>
      </c>
      <c r="J3" s="5" t="n">
        <v>8</v>
      </c>
      <c r="K3" s="5" t="n">
        <v>0</v>
      </c>
      <c r="L3" s="2">
        <f>I3+J3-K3</f>
        <v/>
      </c>
      <c r="M3" s="5" t="n">
        <v>60</v>
      </c>
      <c r="N3" s="9">
        <f>L3*VLOOKUP(A3,productos!A:G,7,FALSE)</f>
        <v/>
      </c>
      <c r="O3" s="10" t="inlineStr">
        <is>
          <t>bajo_minimo</t>
        </is>
      </c>
    </row>
    <row r="4">
      <c r="A4" s="2" t="inlineStr">
        <is>
          <t>REM-003</t>
        </is>
      </c>
      <c r="B4" s="2" t="inlineStr">
        <is>
          <t>Remera Estampada Urban</t>
        </is>
      </c>
      <c r="C4" s="5" t="n">
        <v>44</v>
      </c>
      <c r="D4" s="5" t="n">
        <v>30</v>
      </c>
      <c r="E4" s="5" t="n">
        <v>25</v>
      </c>
      <c r="F4" s="2">
        <f>C4+D4-E4</f>
        <v/>
      </c>
      <c r="G4" s="5" t="n">
        <v>0</v>
      </c>
      <c r="H4" s="5" t="n">
        <v>3</v>
      </c>
      <c r="I4" s="2">
        <f>F4+G4-H4</f>
        <v/>
      </c>
      <c r="J4" s="5" t="n">
        <v>0</v>
      </c>
      <c r="K4" s="5" t="n">
        <v>0</v>
      </c>
      <c r="L4" s="2">
        <f>I4+J4-K4</f>
        <v/>
      </c>
      <c r="M4" s="5" t="n">
        <v>40</v>
      </c>
      <c r="N4" s="9">
        <f>L4*VLOOKUP(A4,productos!A:G,7,FALSE)</f>
        <v/>
      </c>
      <c r="O4" s="7" t="inlineStr">
        <is>
          <t>ok</t>
        </is>
      </c>
    </row>
    <row r="5">
      <c r="A5" s="2" t="inlineStr">
        <is>
          <t>REM-004</t>
        </is>
      </c>
      <c r="B5" s="2" t="inlineStr">
        <is>
          <t>Remera Oversize Vint</t>
        </is>
      </c>
      <c r="C5" s="5" t="n">
        <v>64</v>
      </c>
      <c r="D5" s="5" t="n">
        <v>19</v>
      </c>
      <c r="E5" s="5" t="n">
        <v>6</v>
      </c>
      <c r="F5" s="2">
        <f>C5+D5-E5</f>
        <v/>
      </c>
      <c r="G5" s="5" t="n">
        <v>18</v>
      </c>
      <c r="H5" s="5" t="n">
        <v>7</v>
      </c>
      <c r="I5" s="2">
        <f>F5+G5-H5</f>
        <v/>
      </c>
      <c r="J5" s="5" t="n">
        <v>0</v>
      </c>
      <c r="K5" s="5" t="n">
        <v>0</v>
      </c>
      <c r="L5" s="2">
        <f>I5+J5-K5</f>
        <v/>
      </c>
      <c r="M5" s="5" t="n">
        <v>30</v>
      </c>
      <c r="N5" s="9">
        <f>L5*VLOOKUP(A5,productos!A:G,7,FALSE)</f>
        <v/>
      </c>
      <c r="O5" s="8" t="inlineStr">
        <is>
          <t>sobrestock</t>
        </is>
      </c>
    </row>
    <row r="6">
      <c r="A6" s="2" t="inlineStr">
        <is>
          <t>BUZ-001</t>
        </is>
      </c>
      <c r="B6" s="2" t="inlineStr">
        <is>
          <t>Buzo Canguro con Frisa</t>
        </is>
      </c>
      <c r="C6" s="5" t="n">
        <v>68</v>
      </c>
      <c r="D6" s="5" t="n">
        <v>29</v>
      </c>
      <c r="E6" s="5" t="n">
        <v>6</v>
      </c>
      <c r="F6" s="2">
        <f>C6+D6-E6</f>
        <v/>
      </c>
      <c r="G6" s="5" t="n">
        <v>10</v>
      </c>
      <c r="H6" s="5" t="n">
        <v>6</v>
      </c>
      <c r="I6" s="2">
        <f>F6+G6-H6</f>
        <v/>
      </c>
      <c r="J6" s="5" t="n">
        <v>9</v>
      </c>
      <c r="K6" s="5" t="n">
        <v>0</v>
      </c>
      <c r="L6" s="2">
        <f>I6+J6-K6</f>
        <v/>
      </c>
      <c r="M6" s="5" t="n">
        <v>40</v>
      </c>
      <c r="N6" s="9">
        <f>L6*VLOOKUP(A6,productos!A:G,7,FALSE)</f>
        <v/>
      </c>
      <c r="O6" s="8" t="inlineStr">
        <is>
          <t>sobrestock</t>
        </is>
      </c>
    </row>
    <row r="7">
      <c r="A7" s="2" t="inlineStr">
        <is>
          <t>BUZ-002</t>
        </is>
      </c>
      <c r="B7" s="2" t="inlineStr">
        <is>
          <t>Buzo Canguro con Frisa</t>
        </is>
      </c>
      <c r="C7" s="5" t="n">
        <v>72</v>
      </c>
      <c r="D7" s="5" t="n">
        <v>16</v>
      </c>
      <c r="E7" s="5" t="n">
        <v>1</v>
      </c>
      <c r="F7" s="2">
        <f>C7+D7-E7</f>
        <v/>
      </c>
      <c r="G7" s="5" t="n">
        <v>17</v>
      </c>
      <c r="H7" s="5" t="n">
        <v>5</v>
      </c>
      <c r="I7" s="2">
        <f>F7+G7-H7</f>
        <v/>
      </c>
      <c r="J7" s="5" t="n">
        <v>0</v>
      </c>
      <c r="K7" s="5" t="n">
        <v>4</v>
      </c>
      <c r="L7" s="2">
        <f>I7+J7-K7</f>
        <v/>
      </c>
      <c r="M7" s="5" t="n">
        <v>40</v>
      </c>
      <c r="N7" s="9">
        <f>L7*VLOOKUP(A7,productos!A:G,7,FALSE)</f>
        <v/>
      </c>
      <c r="O7" s="7" t="inlineStr">
        <is>
          <t>ok</t>
        </is>
      </c>
    </row>
    <row r="8">
      <c r="A8" s="2" t="inlineStr">
        <is>
          <t>BUZ-003</t>
        </is>
      </c>
      <c r="B8" s="2" t="inlineStr">
        <is>
          <t>Buzo Cuello Redondo Premium</t>
        </is>
      </c>
      <c r="C8" s="5" t="n">
        <v>61</v>
      </c>
      <c r="D8" s="5" t="n">
        <v>19</v>
      </c>
      <c r="E8" s="5" t="n">
        <v>20</v>
      </c>
      <c r="F8" s="2">
        <f>C8+D8-E8</f>
        <v/>
      </c>
      <c r="G8" s="5" t="n">
        <v>0</v>
      </c>
      <c r="H8" s="5" t="n">
        <v>1</v>
      </c>
      <c r="I8" s="2">
        <f>F8+G8-H8</f>
        <v/>
      </c>
      <c r="J8" s="5" t="n">
        <v>0</v>
      </c>
      <c r="K8" s="5" t="n">
        <v>1</v>
      </c>
      <c r="L8" s="2">
        <f>I8+J8-K8</f>
        <v/>
      </c>
      <c r="M8" s="5" t="n">
        <v>25</v>
      </c>
      <c r="N8" s="9">
        <f>L8*VLOOKUP(A8,productos!A:G,7,FALSE)</f>
        <v/>
      </c>
      <c r="O8" s="7" t="inlineStr">
        <is>
          <t>ok</t>
        </is>
      </c>
    </row>
    <row r="9">
      <c r="A9" s="2" t="inlineStr">
        <is>
          <t>CAM-001</t>
        </is>
      </c>
      <c r="B9" s="2" t="inlineStr">
        <is>
          <t>Campera Trucker Impermeable</t>
        </is>
      </c>
      <c r="C9" s="5" t="n">
        <v>68</v>
      </c>
      <c r="D9" s="5" t="n">
        <v>26</v>
      </c>
      <c r="E9" s="5" t="n">
        <v>1</v>
      </c>
      <c r="F9" s="2">
        <f>C9+D9-E9</f>
        <v/>
      </c>
      <c r="G9" s="5" t="n">
        <v>11</v>
      </c>
      <c r="H9" s="5" t="n">
        <v>4</v>
      </c>
      <c r="I9" s="2">
        <f>F9+G9-H9</f>
        <v/>
      </c>
      <c r="J9" s="5" t="n">
        <v>0</v>
      </c>
      <c r="K9" s="5" t="n">
        <v>0</v>
      </c>
      <c r="L9" s="2">
        <f>I9+J9-K9</f>
        <v/>
      </c>
      <c r="M9" s="5" t="n">
        <v>20</v>
      </c>
      <c r="N9" s="9">
        <f>L9*VLOOKUP(A9,productos!A:G,7,FALSE)</f>
        <v/>
      </c>
      <c r="O9" s="8" t="inlineStr">
        <is>
          <t>sobrestock</t>
        </is>
      </c>
    </row>
    <row r="10">
      <c r="A10" s="2" t="inlineStr">
        <is>
          <t>CAM-002</t>
        </is>
      </c>
      <c r="B10" s="2" t="inlineStr">
        <is>
          <t>Campera de Abrigo Invierno</t>
        </is>
      </c>
      <c r="C10" s="5" t="n">
        <v>45</v>
      </c>
      <c r="D10" s="5" t="n">
        <v>21</v>
      </c>
      <c r="E10" s="5" t="n">
        <v>0</v>
      </c>
      <c r="F10" s="2">
        <f>C10+D10-E10</f>
        <v/>
      </c>
      <c r="G10" s="5" t="n">
        <v>40</v>
      </c>
      <c r="H10" s="5" t="n">
        <v>5</v>
      </c>
      <c r="I10" s="2">
        <f>F10+G10-H10</f>
        <v/>
      </c>
      <c r="J10" s="5" t="n">
        <v>0</v>
      </c>
      <c r="K10" s="5" t="n">
        <v>0</v>
      </c>
      <c r="L10" s="2">
        <f>I10+J10-K10</f>
        <v/>
      </c>
      <c r="M10" s="5" t="n">
        <v>15</v>
      </c>
      <c r="N10" s="9">
        <f>L10*VLOOKUP(A10,productos!A:G,7,FALSE)</f>
        <v/>
      </c>
      <c r="O10" s="8" t="inlineStr">
        <is>
          <t>sobrestock</t>
        </is>
      </c>
    </row>
    <row r="11">
      <c r="A11" s="2" t="inlineStr">
        <is>
          <t>CAM-003</t>
        </is>
      </c>
      <c r="B11" s="2" t="inlineStr">
        <is>
          <t>Campera Rompevientos Light</t>
        </is>
      </c>
      <c r="C11" s="5" t="n">
        <v>73</v>
      </c>
      <c r="D11" s="5" t="n">
        <v>30</v>
      </c>
      <c r="E11" s="5" t="n">
        <v>0</v>
      </c>
      <c r="F11" s="2">
        <f>C11+D11-E11</f>
        <v/>
      </c>
      <c r="G11" s="5" t="n">
        <v>0</v>
      </c>
      <c r="H11" s="5" t="n">
        <v>4</v>
      </c>
      <c r="I11" s="2">
        <f>F11+G11-H11</f>
        <v/>
      </c>
      <c r="J11" s="5" t="n">
        <v>0</v>
      </c>
      <c r="K11" s="5" t="n">
        <v>2</v>
      </c>
      <c r="L11" s="2">
        <f>I11+J11-K11</f>
        <v/>
      </c>
      <c r="M11" s="5" t="n">
        <v>15</v>
      </c>
      <c r="N11" s="9">
        <f>L11*VLOOKUP(A11,productos!A:G,7,FALSE)</f>
        <v/>
      </c>
      <c r="O11" s="8" t="inlineStr">
        <is>
          <t>sobrestock</t>
        </is>
      </c>
    </row>
    <row r="12">
      <c r="A12" s="2" t="inlineStr">
        <is>
          <t>PAN-001</t>
        </is>
      </c>
      <c r="B12" s="2" t="inlineStr">
        <is>
          <t>Pantalón Jean Chupín</t>
        </is>
      </c>
      <c r="C12" s="5" t="n">
        <v>65</v>
      </c>
      <c r="D12" s="5" t="n">
        <v>21</v>
      </c>
      <c r="E12" s="5" t="n">
        <v>4</v>
      </c>
      <c r="F12" s="2">
        <f>C12+D12-E12</f>
        <v/>
      </c>
      <c r="G12" s="5" t="n">
        <v>10</v>
      </c>
      <c r="H12" s="5" t="n">
        <v>108</v>
      </c>
      <c r="I12" s="2">
        <f>F12+G12-H12</f>
        <v/>
      </c>
      <c r="J12" s="5" t="n">
        <v>5</v>
      </c>
      <c r="K12" s="5" t="n">
        <v>0</v>
      </c>
      <c r="L12" s="2">
        <f>I12+J12-K12</f>
        <v/>
      </c>
      <c r="M12" s="5" t="n">
        <v>35</v>
      </c>
      <c r="N12" s="9">
        <f>L12*VLOOKUP(A12,productos!A:G,7,FALSE)</f>
        <v/>
      </c>
      <c r="O12" s="10" t="inlineStr">
        <is>
          <t>bajo_minimo</t>
        </is>
      </c>
    </row>
    <row r="13">
      <c r="A13" s="2" t="inlineStr">
        <is>
          <t>PAN-002</t>
        </is>
      </c>
      <c r="B13" s="2" t="inlineStr">
        <is>
          <t>Pantalón Jean Recto</t>
        </is>
      </c>
      <c r="C13" s="5" t="n">
        <v>46</v>
      </c>
      <c r="D13" s="5" t="n">
        <v>26</v>
      </c>
      <c r="E13" s="5" t="n">
        <v>10</v>
      </c>
      <c r="F13" s="2">
        <f>C13+D13-E13</f>
        <v/>
      </c>
      <c r="G13" s="5" t="n">
        <v>0</v>
      </c>
      <c r="H13" s="5" t="n">
        <v>1</v>
      </c>
      <c r="I13" s="2">
        <f>F13+G13-H13</f>
        <v/>
      </c>
      <c r="J13" s="5" t="n">
        <v>0</v>
      </c>
      <c r="K13" s="5" t="n">
        <v>0</v>
      </c>
      <c r="L13" s="2">
        <f>I13+J13-K13</f>
        <v/>
      </c>
      <c r="M13" s="5" t="n">
        <v>30</v>
      </c>
      <c r="N13" s="9">
        <f>L13*VLOOKUP(A13,productos!A:G,7,FALSE)</f>
        <v/>
      </c>
      <c r="O13" s="7" t="inlineStr">
        <is>
          <t>ok</t>
        </is>
      </c>
    </row>
    <row r="14">
      <c r="A14" s="2" t="inlineStr">
        <is>
          <t>PAN-003</t>
        </is>
      </c>
      <c r="B14" s="2" t="inlineStr">
        <is>
          <t>Pantalón Cargo Gabardina</t>
        </is>
      </c>
      <c r="C14" s="5" t="n">
        <v>50</v>
      </c>
      <c r="D14" s="5" t="n">
        <v>25</v>
      </c>
      <c r="E14" s="5" t="n">
        <v>2</v>
      </c>
      <c r="F14" s="2">
        <f>C14+D14-E14</f>
        <v/>
      </c>
      <c r="G14" s="5" t="n">
        <v>0</v>
      </c>
      <c r="H14" s="5" t="n">
        <v>7</v>
      </c>
      <c r="I14" s="2">
        <f>F14+G14-H14</f>
        <v/>
      </c>
      <c r="J14" s="5" t="n">
        <v>0</v>
      </c>
      <c r="K14" s="5" t="n">
        <v>2</v>
      </c>
      <c r="L14" s="2">
        <f>I14+J14-K14</f>
        <v/>
      </c>
      <c r="M14" s="5" t="n">
        <v>30</v>
      </c>
      <c r="N14" s="9">
        <f>L14*VLOOKUP(A14,productos!A:G,7,FALSE)</f>
        <v/>
      </c>
      <c r="O14" s="7" t="inlineStr">
        <is>
          <t>ok</t>
        </is>
      </c>
    </row>
    <row r="15">
      <c r="A15" s="2" t="inlineStr">
        <is>
          <t>CAL-001</t>
        </is>
      </c>
      <c r="B15" s="2" t="inlineStr">
        <is>
          <t>Calza Deportiva Alta Cintura</t>
        </is>
      </c>
      <c r="C15" s="5" t="n">
        <v>72</v>
      </c>
      <c r="D15" s="5" t="n">
        <v>21</v>
      </c>
      <c r="E15" s="5" t="n">
        <v>2</v>
      </c>
      <c r="F15" s="2">
        <f>C15+D15-E15</f>
        <v/>
      </c>
      <c r="G15" s="5" t="n">
        <v>10</v>
      </c>
      <c r="H15" s="5" t="n">
        <v>80</v>
      </c>
      <c r="I15" s="2">
        <f>F15+G15-H15</f>
        <v/>
      </c>
      <c r="J15" s="5" t="n">
        <v>0</v>
      </c>
      <c r="K15" s="5" t="n">
        <v>0</v>
      </c>
      <c r="L15" s="2">
        <f>I15+J15-K15</f>
        <v/>
      </c>
      <c r="M15" s="5" t="n">
        <v>40</v>
      </c>
      <c r="N15" s="9">
        <f>L15*VLOOKUP(A15,productos!A:G,7,FALSE)</f>
        <v/>
      </c>
      <c r="O15" s="10" t="inlineStr">
        <is>
          <t>bajo_minimo</t>
        </is>
      </c>
    </row>
    <row r="16">
      <c r="A16" s="2" t="inlineStr">
        <is>
          <t>CAL-002</t>
        </is>
      </c>
      <c r="B16" s="2" t="inlineStr">
        <is>
          <t>Calza Short Deportiva</t>
        </is>
      </c>
      <c r="C16" s="5" t="n">
        <v>72</v>
      </c>
      <c r="D16" s="5" t="n">
        <v>25</v>
      </c>
      <c r="E16" s="5" t="n">
        <v>5</v>
      </c>
      <c r="F16" s="2">
        <f>C16+D16-E16</f>
        <v/>
      </c>
      <c r="G16" s="5" t="n">
        <v>15</v>
      </c>
      <c r="H16" s="5" t="n">
        <v>10</v>
      </c>
      <c r="I16" s="2">
        <f>F16+G16-H16</f>
        <v/>
      </c>
      <c r="J16" s="5" t="n">
        <v>0</v>
      </c>
      <c r="K16" s="5" t="n">
        <v>1</v>
      </c>
      <c r="L16" s="2">
        <f>I16+J16-K16</f>
        <v/>
      </c>
      <c r="M16" s="5" t="n">
        <v>20</v>
      </c>
      <c r="N16" s="9">
        <f>L16*VLOOKUP(A16,productos!A:G,7,FALSE)</f>
        <v/>
      </c>
      <c r="O16" s="8" t="inlineStr">
        <is>
          <t>sobrestock</t>
        </is>
      </c>
    </row>
    <row r="17">
      <c r="A17" s="2" t="inlineStr">
        <is>
          <t>TOP-001</t>
        </is>
      </c>
      <c r="B17" s="2" t="inlineStr">
        <is>
          <t>Top Deportivo Suplex</t>
        </is>
      </c>
      <c r="C17" s="5" t="n">
        <v>65</v>
      </c>
      <c r="D17" s="5" t="n">
        <v>23</v>
      </c>
      <c r="E17" s="5" t="n">
        <v>3</v>
      </c>
      <c r="F17" s="2">
        <f>C17+D17-E17</f>
        <v/>
      </c>
      <c r="G17" s="5" t="n">
        <v>13</v>
      </c>
      <c r="H17" s="5" t="n">
        <v>16</v>
      </c>
      <c r="I17" s="2">
        <f>F17+G17-H17</f>
        <v/>
      </c>
      <c r="J17" s="5" t="n">
        <v>5</v>
      </c>
      <c r="K17" s="5" t="n">
        <v>4</v>
      </c>
      <c r="L17" s="2">
        <f>I17+J17-K17</f>
        <v/>
      </c>
      <c r="M17" s="5" t="n">
        <v>30</v>
      </c>
      <c r="N17" s="9">
        <f>L17*VLOOKUP(A17,productos!A:G,7,FALSE)</f>
        <v/>
      </c>
      <c r="O17" s="8" t="inlineStr">
        <is>
          <t>sobrestock</t>
        </is>
      </c>
    </row>
    <row r="18">
      <c r="A18" s="2" t="inlineStr">
        <is>
          <t>TOP-002</t>
        </is>
      </c>
      <c r="B18" s="2" t="inlineStr">
        <is>
          <t>Top Fitness Seamless</t>
        </is>
      </c>
      <c r="C18" s="5" t="n">
        <v>58</v>
      </c>
      <c r="D18" s="5" t="n">
        <v>17</v>
      </c>
      <c r="E18" s="5" t="n">
        <v>5</v>
      </c>
      <c r="F18" s="2">
        <f>C18+D18-E18</f>
        <v/>
      </c>
      <c r="G18" s="5" t="n">
        <v>16</v>
      </c>
      <c r="H18" s="5" t="n">
        <v>8</v>
      </c>
      <c r="I18" s="2">
        <f>F18+G18-H18</f>
        <v/>
      </c>
      <c r="J18" s="5" t="n">
        <v>6</v>
      </c>
      <c r="K18" s="5" t="n">
        <v>1</v>
      </c>
      <c r="L18" s="2">
        <f>I18+J18-K18</f>
        <v/>
      </c>
      <c r="M18" s="5" t="n">
        <v>25</v>
      </c>
      <c r="N18" s="9">
        <f>L18*VLOOKUP(A18,productos!A:G,7,FALSE)</f>
        <v/>
      </c>
      <c r="O18" s="8" t="inlineStr">
        <is>
          <t>sobrestock</t>
        </is>
      </c>
    </row>
    <row r="19">
      <c r="A19" s="2" t="inlineStr">
        <is>
          <t>MED-001</t>
        </is>
      </c>
      <c r="B19" s="2" t="inlineStr">
        <is>
          <t>Medias Element Pack x3</t>
        </is>
      </c>
      <c r="C19" s="5" t="n">
        <v>49</v>
      </c>
      <c r="D19" s="5" t="n">
        <v>17</v>
      </c>
      <c r="E19" s="5" t="n">
        <v>31</v>
      </c>
      <c r="F19" s="2">
        <f>C19+D19-E19</f>
        <v/>
      </c>
      <c r="G19" s="5" t="n">
        <v>11</v>
      </c>
      <c r="H19" s="5" t="n">
        <v>0</v>
      </c>
      <c r="I19" s="2">
        <f>F19+G19-H19</f>
        <v/>
      </c>
      <c r="J19" s="5" t="n">
        <v>0</v>
      </c>
      <c r="K19" s="5" t="n">
        <v>2</v>
      </c>
      <c r="L19" s="2">
        <f>I19+J19-K19</f>
        <v/>
      </c>
      <c r="M19" s="5" t="n">
        <v>70</v>
      </c>
      <c r="N19" s="9">
        <f>L19*VLOOKUP(A19,productos!A:G,7,FALSE)</f>
        <v/>
      </c>
      <c r="O19" s="10" t="inlineStr">
        <is>
          <t>bajo_minimo</t>
        </is>
      </c>
    </row>
    <row r="20">
      <c r="A20" s="2" t="inlineStr">
        <is>
          <t>MED-002</t>
        </is>
      </c>
      <c r="B20" s="2" t="inlineStr">
        <is>
          <t>Soberanas Invisibles Pack x3</t>
        </is>
      </c>
      <c r="C20" s="5" t="n">
        <v>73</v>
      </c>
      <c r="D20" s="5" t="n">
        <v>22</v>
      </c>
      <c r="E20" s="5" t="n">
        <v>1</v>
      </c>
      <c r="F20" s="2">
        <f>C20+D20-E20</f>
        <v/>
      </c>
      <c r="G20" s="5" t="n">
        <v>12</v>
      </c>
      <c r="H20" s="5" t="n">
        <v>3</v>
      </c>
      <c r="I20" s="2">
        <f>F20+G20-H20</f>
        <v/>
      </c>
      <c r="J20" s="5" t="n">
        <v>0</v>
      </c>
      <c r="K20" s="5" t="n">
        <v>0</v>
      </c>
      <c r="L20" s="2">
        <f>I20+J20-K20</f>
        <v/>
      </c>
      <c r="M20" s="5" t="n">
        <v>50</v>
      </c>
      <c r="N20" s="9">
        <f>L20*VLOOKUP(A20,productos!A:G,7,FALSE)</f>
        <v/>
      </c>
      <c r="O20" s="7" t="inlineStr">
        <is>
          <t>ok</t>
        </is>
      </c>
    </row>
    <row r="21">
      <c r="A21" s="2" t="inlineStr">
        <is>
          <t>ACC-001</t>
        </is>
      </c>
      <c r="B21" s="2" t="inlineStr">
        <is>
          <t>Gorra Trucker Urbana</t>
        </is>
      </c>
      <c r="C21" s="5" t="n">
        <v>52</v>
      </c>
      <c r="D21" s="5" t="n">
        <v>22</v>
      </c>
      <c r="E21" s="5" t="n">
        <v>25</v>
      </c>
      <c r="F21" s="2">
        <f>C21+D21-E21</f>
        <v/>
      </c>
      <c r="G21" s="5" t="n">
        <v>11</v>
      </c>
      <c r="H21" s="5" t="n">
        <v>7</v>
      </c>
      <c r="I21" s="2">
        <f>F21+G21-H21</f>
        <v/>
      </c>
      <c r="J21" s="5" t="n">
        <v>0</v>
      </c>
      <c r="K21" s="5" t="n">
        <v>0</v>
      </c>
      <c r="L21" s="2">
        <f>I21+J21-K21</f>
        <v/>
      </c>
      <c r="M21" s="5" t="n">
        <v>25</v>
      </c>
      <c r="N21" s="9">
        <f>L21*VLOOKUP(A21,productos!A:G,7,FALSE)</f>
        <v/>
      </c>
      <c r="O21" s="7" t="inlineStr">
        <is>
          <t>ok</t>
        </is>
      </c>
    </row>
    <row r="22">
      <c r="A22" s="2" t="inlineStr">
        <is>
          <t>ACC-002</t>
        </is>
      </c>
      <c r="B22" s="2" t="inlineStr">
        <is>
          <t>Cinturón de Lona Reforzado</t>
        </is>
      </c>
      <c r="C22" s="5" t="n">
        <v>67</v>
      </c>
      <c r="D22" s="5" t="n">
        <v>20</v>
      </c>
      <c r="E22" s="5" t="n">
        <v>19</v>
      </c>
      <c r="F22" s="2">
        <f>C22+D22-E22</f>
        <v/>
      </c>
      <c r="G22" s="5" t="n">
        <v>0</v>
      </c>
      <c r="H22" s="5" t="n">
        <v>5</v>
      </c>
      <c r="I22" s="2">
        <f>F22+G22-H22</f>
        <v/>
      </c>
      <c r="J22" s="5" t="n">
        <v>0</v>
      </c>
      <c r="K22" s="5" t="n">
        <v>2</v>
      </c>
      <c r="L22" s="2">
        <f>I22+J22-K22</f>
        <v/>
      </c>
      <c r="M22" s="5" t="n">
        <v>20</v>
      </c>
      <c r="N22" s="9">
        <f>L22*VLOOKUP(A22,productos!A:G,7,FALSE)</f>
        <v/>
      </c>
      <c r="O22" s="8" t="inlineStr">
        <is>
          <t>sobrestock</t>
        </is>
      </c>
    </row>
    <row r="23">
      <c r="A23" s="2" t="inlineStr">
        <is>
          <t>ACC-003</t>
        </is>
      </c>
      <c r="B23" s="2" t="inlineStr">
        <is>
          <t>Mochila Urbana Porta Notebook</t>
        </is>
      </c>
      <c r="C23" s="5" t="n">
        <v>14</v>
      </c>
      <c r="D23" s="5" t="n">
        <v>0</v>
      </c>
      <c r="E23" s="5" t="n">
        <v>3</v>
      </c>
      <c r="F23" s="2">
        <f>C23+D23-E23</f>
        <v/>
      </c>
      <c r="G23" s="5" t="n">
        <v>0</v>
      </c>
      <c r="H23" s="5" t="n">
        <v>10</v>
      </c>
      <c r="I23" s="2">
        <f>F23+G23-H23</f>
        <v/>
      </c>
      <c r="J23" s="5" t="n">
        <v>0</v>
      </c>
      <c r="K23" s="5" t="n">
        <v>0</v>
      </c>
      <c r="L23" s="2">
        <f>I23+J23-K23</f>
        <v/>
      </c>
      <c r="M23" s="5" t="n">
        <v>12</v>
      </c>
      <c r="N23" s="9">
        <f>L23*VLOOKUP(A23,productos!A:G,7,FALSE)</f>
        <v/>
      </c>
      <c r="O23" s="2" t="inlineStr">
        <is>
          <t>sin_movimiento</t>
        </is>
      </c>
    </row>
  </sheetData>
  <autoFilter ref="A1:O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7" customWidth="1" min="3" max="3"/>
    <col width="13" customWidth="1" min="4" max="4"/>
    <col width="15" customWidth="1" min="5" max="5"/>
    <col width="15" customWidth="1" min="6" max="6"/>
  </cols>
  <sheetData>
    <row r="1" ht="26" customHeight="1">
      <c r="A1" s="1" t="inlineStr">
        <is>
          <t>mes</t>
        </is>
      </c>
      <c r="B1" s="1" t="inlineStr">
        <is>
          <t>concepto</t>
        </is>
      </c>
      <c r="C1" s="1" t="inlineStr">
        <is>
          <t>categoria</t>
        </is>
      </c>
      <c r="D1" s="1" t="inlineStr">
        <is>
          <t>importe</t>
        </is>
      </c>
      <c r="E1" s="1" t="inlineStr">
        <is>
          <t>vencimiento</t>
        </is>
      </c>
      <c r="F1" s="1" t="inlineStr">
        <is>
          <t>estado_pago</t>
        </is>
      </c>
    </row>
    <row r="2">
      <c r="A2" s="2" t="inlineStr">
        <is>
          <t>marzo</t>
        </is>
      </c>
      <c r="B2" s="2" t="inlineStr">
        <is>
          <t>Alquiler Showroom y Depósito</t>
        </is>
      </c>
      <c r="C2" s="2" t="inlineStr">
        <is>
          <t>logística</t>
        </is>
      </c>
      <c r="D2" s="3" t="n">
        <v>450000</v>
      </c>
      <c r="E2" s="6" t="inlineStr">
        <is>
          <t>2026-03-05</t>
        </is>
      </c>
      <c r="F2" s="7" t="inlineStr">
        <is>
          <t>PAGADO</t>
        </is>
      </c>
    </row>
    <row r="3">
      <c r="A3" s="2" t="inlineStr">
        <is>
          <t>marzo</t>
        </is>
      </c>
      <c r="B3" s="2" t="inlineStr">
        <is>
          <t>Sueldos Personal Confección/Ventas</t>
        </is>
      </c>
      <c r="C3" s="2" t="inlineStr">
        <is>
          <t>sueldos</t>
        </is>
      </c>
      <c r="D3" s="3" t="n">
        <v>1200000</v>
      </c>
      <c r="E3" s="6" t="inlineStr">
        <is>
          <t>2026-03-05</t>
        </is>
      </c>
      <c r="F3" s="7" t="inlineStr">
        <is>
          <t>PAGADO</t>
        </is>
      </c>
    </row>
    <row r="4">
      <c r="A4" s="2" t="inlineStr">
        <is>
          <t>marzo</t>
        </is>
      </c>
      <c r="B4" s="2" t="inlineStr">
        <is>
          <t>Cargas Sociales F.931</t>
        </is>
      </c>
      <c r="C4" s="2" t="inlineStr">
        <is>
          <t>impuestos</t>
        </is>
      </c>
      <c r="D4" s="3" t="n">
        <v>420000</v>
      </c>
      <c r="E4" s="6" t="inlineStr">
        <is>
          <t>2026-03-15</t>
        </is>
      </c>
      <c r="F4" s="7" t="inlineStr">
        <is>
          <t>PAGADO</t>
        </is>
      </c>
    </row>
    <row r="5">
      <c r="A5" s="2" t="inlineStr">
        <is>
          <t>marzo</t>
        </is>
      </c>
      <c r="B5" s="2" t="inlineStr">
        <is>
          <t>Servicios (Luz, Internet, Gas)</t>
        </is>
      </c>
      <c r="C5" s="2" t="inlineStr">
        <is>
          <t>servicios</t>
        </is>
      </c>
      <c r="D5" s="3" t="n">
        <v>95000</v>
      </c>
      <c r="E5" s="6" t="inlineStr">
        <is>
          <t>2026-03-10</t>
        </is>
      </c>
      <c r="F5" s="7" t="inlineStr">
        <is>
          <t>PAGADO</t>
        </is>
      </c>
    </row>
    <row r="6">
      <c r="A6" s="2" t="inlineStr">
        <is>
          <t>marzo</t>
        </is>
      </c>
      <c r="B6" s="2" t="inlineStr">
        <is>
          <t>Honorarios Contador</t>
        </is>
      </c>
      <c r="C6" s="2" t="inlineStr">
        <is>
          <t>contador</t>
        </is>
      </c>
      <c r="D6" s="3" t="n">
        <v>80000</v>
      </c>
      <c r="E6" s="6" t="inlineStr">
        <is>
          <t>2026-03-10</t>
        </is>
      </c>
      <c r="F6" s="7" t="inlineStr">
        <is>
          <t>PAGADO</t>
        </is>
      </c>
    </row>
    <row r="7">
      <c r="A7" s="2" t="inlineStr">
        <is>
          <t>marzo</t>
        </is>
      </c>
      <c r="B7" s="2" t="inlineStr">
        <is>
          <t>Logística y Envíos (Andreani/Fletes)</t>
        </is>
      </c>
      <c r="C7" s="2" t="inlineStr">
        <is>
          <t>logística</t>
        </is>
      </c>
      <c r="D7" s="3" t="n">
        <v>150000</v>
      </c>
      <c r="E7" s="6" t="inlineStr">
        <is>
          <t>2026-03-20</t>
        </is>
      </c>
      <c r="F7" s="7" t="inlineStr">
        <is>
          <t>PAGADO</t>
        </is>
      </c>
    </row>
    <row r="8">
      <c r="A8" s="2" t="inlineStr">
        <is>
          <t>marzo</t>
        </is>
      </c>
      <c r="B8" s="2" t="inlineStr">
        <is>
          <t>Marketing y Pauta Digital (Meta/Google)</t>
        </is>
      </c>
      <c r="C8" s="2" t="inlineStr">
        <is>
          <t>marketing</t>
        </is>
      </c>
      <c r="D8" s="3" t="n">
        <v>220000</v>
      </c>
      <c r="E8" s="6" t="inlineStr">
        <is>
          <t>2026-03-18</t>
        </is>
      </c>
      <c r="F8" s="7" t="inlineStr">
        <is>
          <t>PAGADO</t>
        </is>
      </c>
    </row>
    <row r="9">
      <c r="A9" s="2" t="inlineStr">
        <is>
          <t>marzo</t>
        </is>
      </c>
      <c r="B9" s="2" t="inlineStr">
        <is>
          <t>Mantenimiento de Máquinas</t>
        </is>
      </c>
      <c r="C9" s="2" t="inlineStr">
        <is>
          <t>mantenimiento</t>
        </is>
      </c>
      <c r="D9" s="3" t="n">
        <v>45000</v>
      </c>
      <c r="E9" s="6" t="inlineStr">
        <is>
          <t>2026-03-22</t>
        </is>
      </c>
      <c r="F9" s="7" t="inlineStr">
        <is>
          <t>PAGADO</t>
        </is>
      </c>
    </row>
    <row r="10">
      <c r="A10" s="2" t="inlineStr">
        <is>
          <t>marzo</t>
        </is>
      </c>
      <c r="B10" s="2" t="inlineStr">
        <is>
          <t>Software de Gestión y Tienda Cloud</t>
        </is>
      </c>
      <c r="C10" s="2" t="inlineStr">
        <is>
          <t>software</t>
        </is>
      </c>
      <c r="D10" s="3" t="n">
        <v>35000</v>
      </c>
      <c r="E10" s="6" t="inlineStr">
        <is>
          <t>2026-03-10</t>
        </is>
      </c>
      <c r="F10" s="7" t="inlineStr">
        <is>
          <t>PAGADO</t>
        </is>
      </c>
    </row>
    <row r="11">
      <c r="A11" s="2" t="inlineStr">
        <is>
          <t>marzo</t>
        </is>
      </c>
      <c r="B11" s="2" t="inlineStr">
        <is>
          <t>Impuestos Provinciales / Tasas</t>
        </is>
      </c>
      <c r="C11" s="2" t="inlineStr">
        <is>
          <t>impuestos</t>
        </is>
      </c>
      <c r="D11" s="3" t="n">
        <v>60000</v>
      </c>
      <c r="E11" s="6" t="inlineStr">
        <is>
          <t>2026-03-24</t>
        </is>
      </c>
      <c r="F11" s="7" t="inlineStr">
        <is>
          <t>PAGADO</t>
        </is>
      </c>
    </row>
    <row r="12">
      <c r="A12" s="2" t="inlineStr">
        <is>
          <t>abril</t>
        </is>
      </c>
      <c r="B12" s="2" t="inlineStr">
        <is>
          <t>Alquiler Showroom y Depósito</t>
        </is>
      </c>
      <c r="C12" s="2" t="inlineStr">
        <is>
          <t>logística</t>
        </is>
      </c>
      <c r="D12" s="3" t="n">
        <v>562500</v>
      </c>
      <c r="E12" s="6" t="inlineStr">
        <is>
          <t>2026-04-05</t>
        </is>
      </c>
      <c r="F12" s="7" t="inlineStr">
        <is>
          <t>PAGADO</t>
        </is>
      </c>
    </row>
    <row r="13">
      <c r="A13" s="2" t="inlineStr">
        <is>
          <t>abril</t>
        </is>
      </c>
      <c r="B13" s="2" t="inlineStr">
        <is>
          <t>Sueldos Personal Confección/Ventas</t>
        </is>
      </c>
      <c r="C13" s="2" t="inlineStr">
        <is>
          <t>sueldos</t>
        </is>
      </c>
      <c r="D13" s="3" t="n">
        <v>1440000</v>
      </c>
      <c r="E13" s="6" t="inlineStr">
        <is>
          <t>2026-04-05</t>
        </is>
      </c>
      <c r="F13" s="7" t="inlineStr">
        <is>
          <t>PAGADO</t>
        </is>
      </c>
    </row>
    <row r="14">
      <c r="A14" s="2" t="inlineStr">
        <is>
          <t>abril</t>
        </is>
      </c>
      <c r="B14" s="2" t="inlineStr">
        <is>
          <t>Cargas Sociales F.931</t>
        </is>
      </c>
      <c r="C14" s="2" t="inlineStr">
        <is>
          <t>impuestos</t>
        </is>
      </c>
      <c r="D14" s="3" t="n">
        <v>420000</v>
      </c>
      <c r="E14" s="6" t="inlineStr">
        <is>
          <t>2026-04-15</t>
        </is>
      </c>
      <c r="F14" s="7" t="inlineStr">
        <is>
          <t>PAGADO</t>
        </is>
      </c>
    </row>
    <row r="15">
      <c r="A15" s="2" t="inlineStr">
        <is>
          <t>abril</t>
        </is>
      </c>
      <c r="B15" s="2" t="inlineStr">
        <is>
          <t>Servicios (Luz, Internet, Gas)</t>
        </is>
      </c>
      <c r="C15" s="2" t="inlineStr">
        <is>
          <t>servicios</t>
        </is>
      </c>
      <c r="D15" s="3" t="n">
        <v>142500</v>
      </c>
      <c r="E15" s="6" t="inlineStr">
        <is>
          <t>2026-04-10</t>
        </is>
      </c>
      <c r="F15" s="7" t="inlineStr">
        <is>
          <t>PAGADO</t>
        </is>
      </c>
    </row>
    <row r="16">
      <c r="A16" s="2" t="inlineStr">
        <is>
          <t>abril</t>
        </is>
      </c>
      <c r="B16" s="2" t="inlineStr">
        <is>
          <t>Honorarios Contador</t>
        </is>
      </c>
      <c r="C16" s="2" t="inlineStr">
        <is>
          <t>contador</t>
        </is>
      </c>
      <c r="D16" s="3" t="n">
        <v>80000</v>
      </c>
      <c r="E16" s="6" t="inlineStr">
        <is>
          <t>2026-04-10</t>
        </is>
      </c>
      <c r="F16" s="7" t="inlineStr">
        <is>
          <t>PAGADO</t>
        </is>
      </c>
    </row>
    <row r="17">
      <c r="A17" s="2" t="inlineStr">
        <is>
          <t>abril</t>
        </is>
      </c>
      <c r="B17" s="2" t="inlineStr">
        <is>
          <t>Logística y Envíos (Andreani/Fletes)</t>
        </is>
      </c>
      <c r="C17" s="2" t="inlineStr">
        <is>
          <t>logística</t>
        </is>
      </c>
      <c r="D17" s="3" t="n">
        <v>210000</v>
      </c>
      <c r="E17" s="6" t="inlineStr">
        <is>
          <t>2026-04-20</t>
        </is>
      </c>
      <c r="F17" s="7" t="inlineStr">
        <is>
          <t>PAGADO</t>
        </is>
      </c>
    </row>
    <row r="18">
      <c r="A18" s="2" t="inlineStr">
        <is>
          <t>abril</t>
        </is>
      </c>
      <c r="B18" s="2" t="inlineStr">
        <is>
          <t>Marketing y Pauta Digital (Meta/Google)</t>
        </is>
      </c>
      <c r="C18" s="2" t="inlineStr">
        <is>
          <t>marketing</t>
        </is>
      </c>
      <c r="D18" s="3" t="n">
        <v>220000</v>
      </c>
      <c r="E18" s="6" t="inlineStr">
        <is>
          <t>2026-04-18</t>
        </is>
      </c>
      <c r="F18" s="7" t="inlineStr">
        <is>
          <t>PAGADO</t>
        </is>
      </c>
    </row>
    <row r="19">
      <c r="A19" s="2" t="inlineStr">
        <is>
          <t>abril</t>
        </is>
      </c>
      <c r="B19" s="2" t="inlineStr">
        <is>
          <t>Mantenimiento de Máquinas</t>
        </is>
      </c>
      <c r="C19" s="2" t="inlineStr">
        <is>
          <t>mantenimiento</t>
        </is>
      </c>
      <c r="D19" s="3" t="n">
        <v>45000</v>
      </c>
      <c r="E19" s="6" t="inlineStr">
        <is>
          <t>2026-04-22</t>
        </is>
      </c>
      <c r="F19" s="7" t="inlineStr">
        <is>
          <t>PAGADO</t>
        </is>
      </c>
    </row>
    <row r="20">
      <c r="A20" s="2" t="inlineStr">
        <is>
          <t>abril</t>
        </is>
      </c>
      <c r="B20" s="2" t="inlineStr">
        <is>
          <t>Software de Gestión y Tienda Cloud</t>
        </is>
      </c>
      <c r="C20" s="2" t="inlineStr">
        <is>
          <t>software</t>
        </is>
      </c>
      <c r="D20" s="3" t="n">
        <v>35000</v>
      </c>
      <c r="E20" s="6" t="inlineStr">
        <is>
          <t>2026-04-10</t>
        </is>
      </c>
      <c r="F20" s="7" t="inlineStr">
        <is>
          <t>PAGADO</t>
        </is>
      </c>
    </row>
    <row r="21">
      <c r="A21" s="2" t="inlineStr">
        <is>
          <t>abril</t>
        </is>
      </c>
      <c r="B21" s="2" t="inlineStr">
        <is>
          <t>Impuestos Provinciales / Tasas</t>
        </is>
      </c>
      <c r="C21" s="2" t="inlineStr">
        <is>
          <t>impuestos</t>
        </is>
      </c>
      <c r="D21" s="3" t="n">
        <v>60000</v>
      </c>
      <c r="E21" s="6" t="inlineStr">
        <is>
          <t>2026-04-24</t>
        </is>
      </c>
      <c r="F21" s="7" t="inlineStr">
        <is>
          <t>PAGADO</t>
        </is>
      </c>
    </row>
    <row r="22">
      <c r="A22" s="2" t="inlineStr">
        <is>
          <t>mayo</t>
        </is>
      </c>
      <c r="B22" s="2" t="inlineStr">
        <is>
          <t>Alquiler Showroom y Depósito</t>
        </is>
      </c>
      <c r="C22" s="2" t="inlineStr">
        <is>
          <t>logística</t>
        </is>
      </c>
      <c r="D22" s="3" t="n">
        <v>562500</v>
      </c>
      <c r="E22" s="6" t="inlineStr">
        <is>
          <t>2026-05-05</t>
        </is>
      </c>
      <c r="F22" s="7" t="inlineStr">
        <is>
          <t>PAGADO</t>
        </is>
      </c>
    </row>
    <row r="23">
      <c r="A23" s="2" t="inlineStr">
        <is>
          <t>mayo</t>
        </is>
      </c>
      <c r="B23" s="2" t="inlineStr">
        <is>
          <t>Sueldos Personal Confección/Ventas</t>
        </is>
      </c>
      <c r="C23" s="2" t="inlineStr">
        <is>
          <t>sueldos</t>
        </is>
      </c>
      <c r="D23" s="3" t="n">
        <v>1440000</v>
      </c>
      <c r="E23" s="6" t="inlineStr">
        <is>
          <t>2026-05-05</t>
        </is>
      </c>
      <c r="F23" s="7" t="inlineStr">
        <is>
          <t>PAGADO</t>
        </is>
      </c>
    </row>
    <row r="24">
      <c r="A24" s="2" t="inlineStr">
        <is>
          <t>mayo</t>
        </is>
      </c>
      <c r="B24" s="2" t="inlineStr">
        <is>
          <t>Cargas Sociales F.931</t>
        </is>
      </c>
      <c r="C24" s="2" t="inlineStr">
        <is>
          <t>impuestos</t>
        </is>
      </c>
      <c r="D24" s="3" t="n">
        <v>420000</v>
      </c>
      <c r="E24" s="6" t="inlineStr">
        <is>
          <t>2026-05-15</t>
        </is>
      </c>
      <c r="F24" s="10" t="inlineStr">
        <is>
          <t>PENDIENTE</t>
        </is>
      </c>
    </row>
    <row r="25">
      <c r="A25" s="2" t="inlineStr">
        <is>
          <t>mayo</t>
        </is>
      </c>
      <c r="B25" s="2" t="inlineStr">
        <is>
          <t>Servicios (Luz, Internet, Gas)</t>
        </is>
      </c>
      <c r="C25" s="2" t="inlineStr">
        <is>
          <t>servicios</t>
        </is>
      </c>
      <c r="D25" s="3" t="n">
        <v>147250</v>
      </c>
      <c r="E25" s="6" t="inlineStr">
        <is>
          <t>2026-05-10</t>
        </is>
      </c>
      <c r="F25" s="7" t="inlineStr">
        <is>
          <t>PAGADO</t>
        </is>
      </c>
    </row>
    <row r="26">
      <c r="A26" s="2" t="inlineStr">
        <is>
          <t>mayo</t>
        </is>
      </c>
      <c r="B26" s="2" t="inlineStr">
        <is>
          <t>Honorarios Contador</t>
        </is>
      </c>
      <c r="C26" s="2" t="inlineStr">
        <is>
          <t>contador</t>
        </is>
      </c>
      <c r="D26" s="3" t="n">
        <v>80000</v>
      </c>
      <c r="E26" s="6" t="inlineStr">
        <is>
          <t>2026-05-10</t>
        </is>
      </c>
      <c r="F26" s="7" t="inlineStr">
        <is>
          <t>PAGADO</t>
        </is>
      </c>
    </row>
    <row r="27">
      <c r="A27" s="2" t="inlineStr">
        <is>
          <t>mayo</t>
        </is>
      </c>
      <c r="B27" s="2" t="inlineStr">
        <is>
          <t>Logística y Envíos (Andreani/Fletes)</t>
        </is>
      </c>
      <c r="C27" s="2" t="inlineStr">
        <is>
          <t>logística</t>
        </is>
      </c>
      <c r="D27" s="3" t="n">
        <v>120000</v>
      </c>
      <c r="E27" s="6" t="inlineStr">
        <is>
          <t>2026-05-20</t>
        </is>
      </c>
      <c r="F27" s="10" t="inlineStr">
        <is>
          <t>PENDIENTE</t>
        </is>
      </c>
    </row>
    <row r="28">
      <c r="A28" s="2" t="inlineStr">
        <is>
          <t>mayo</t>
        </is>
      </c>
      <c r="B28" s="2" t="inlineStr">
        <is>
          <t>Marketing y Pauta Digital (Meta/Google)</t>
        </is>
      </c>
      <c r="C28" s="2" t="inlineStr">
        <is>
          <t>marketing</t>
        </is>
      </c>
      <c r="D28" s="3" t="n">
        <v>44000</v>
      </c>
      <c r="E28" s="6" t="inlineStr">
        <is>
          <t>2026-05-18</t>
        </is>
      </c>
      <c r="F28" s="10" t="inlineStr">
        <is>
          <t>PENDIENTE</t>
        </is>
      </c>
    </row>
    <row r="29">
      <c r="A29" s="2" t="inlineStr">
        <is>
          <t>mayo</t>
        </is>
      </c>
      <c r="B29" s="2" t="inlineStr">
        <is>
          <t>Mantenimiento de Máquinas</t>
        </is>
      </c>
      <c r="C29" s="2" t="inlineStr">
        <is>
          <t>mantenimiento</t>
        </is>
      </c>
      <c r="D29" s="3" t="n">
        <v>45000</v>
      </c>
      <c r="E29" s="6" t="inlineStr">
        <is>
          <t>2026-05-22</t>
        </is>
      </c>
      <c r="F29" s="10" t="inlineStr">
        <is>
          <t>PENDIENTE</t>
        </is>
      </c>
    </row>
    <row r="30">
      <c r="A30" s="2" t="inlineStr">
        <is>
          <t>mayo</t>
        </is>
      </c>
      <c r="B30" s="2" t="inlineStr">
        <is>
          <t>Software de Gestión y Tienda Cloud</t>
        </is>
      </c>
      <c r="C30" s="2" t="inlineStr">
        <is>
          <t>software</t>
        </is>
      </c>
      <c r="D30" s="3" t="n">
        <v>35000</v>
      </c>
      <c r="E30" s="6" t="inlineStr">
        <is>
          <t>2026-05-10</t>
        </is>
      </c>
      <c r="F30" s="7" t="inlineStr">
        <is>
          <t>PAGADO</t>
        </is>
      </c>
    </row>
    <row r="31">
      <c r="A31" s="2" t="inlineStr">
        <is>
          <t>mayo</t>
        </is>
      </c>
      <c r="B31" s="2" t="inlineStr">
        <is>
          <t>Impuestos Provinciales / Tasas</t>
        </is>
      </c>
      <c r="C31" s="2" t="inlineStr">
        <is>
          <t>impuestos</t>
        </is>
      </c>
      <c r="D31" s="3" t="n">
        <v>60000</v>
      </c>
      <c r="E31" s="6" t="inlineStr">
        <is>
          <t>2026-05-24</t>
        </is>
      </c>
      <c r="F31" s="10" t="inlineStr">
        <is>
          <t>PENDIENTE</t>
        </is>
      </c>
    </row>
  </sheetData>
  <autoFilter ref="A1:F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52" customWidth="1" min="3" max="3"/>
    <col width="20" customWidth="1" min="4" max="4"/>
    <col width="12" customWidth="1" min="5" max="5"/>
    <col width="13" customWidth="1" min="6" max="6"/>
    <col width="19" customWidth="1" min="7" max="7"/>
    <col width="18" customWidth="1" min="8" max="8"/>
  </cols>
  <sheetData>
    <row r="1" ht="26" customHeight="1">
      <c r="A1" s="1" t="inlineStr">
        <is>
          <t>fecha</t>
        </is>
      </c>
      <c r="B1" s="1" t="inlineStr">
        <is>
          <t>tipo_movimiento</t>
        </is>
      </c>
      <c r="C1" s="1" t="inlineStr">
        <is>
          <t>concepto</t>
        </is>
      </c>
      <c r="D1" s="1" t="inlineStr">
        <is>
          <t>medio</t>
        </is>
      </c>
      <c r="E1" s="1" t="inlineStr">
        <is>
          <t>ingreso</t>
        </is>
      </c>
      <c r="F1" s="1" t="inlineStr">
        <is>
          <t>egreso</t>
        </is>
      </c>
      <c r="G1" s="1" t="inlineStr">
        <is>
          <t>saldo_estimado</t>
        </is>
      </c>
      <c r="H1" s="1" t="inlineStr">
        <is>
          <t>referencia</t>
        </is>
      </c>
    </row>
    <row r="2">
      <c r="A2" s="6" t="inlineStr">
        <is>
          <t>2026-03-01</t>
        </is>
      </c>
      <c r="B2" s="2" t="inlineStr">
        <is>
          <t>ingreso</t>
        </is>
      </c>
      <c r="C2" s="2" t="inlineStr">
        <is>
          <t>Saldo Inicial de Caja</t>
        </is>
      </c>
      <c r="D2" s="2" t="inlineStr">
        <is>
          <t>transferencia</t>
        </is>
      </c>
      <c r="E2" s="3" t="n">
        <v>2500000</v>
      </c>
      <c r="F2" s="3" t="n">
        <v>0</v>
      </c>
      <c r="G2" s="9">
        <f>E2-F2</f>
        <v/>
      </c>
      <c r="H2" s="2" t="inlineStr">
        <is>
          <t>SALDO_INICIAL</t>
        </is>
      </c>
    </row>
    <row r="3">
      <c r="A3" s="6" t="inlineStr">
        <is>
          <t>2026-03-04</t>
        </is>
      </c>
      <c r="B3" s="2" t="inlineStr">
        <is>
          <t>ingreso</t>
        </is>
      </c>
      <c r="C3" s="2" t="inlineStr">
        <is>
          <t>Cobro Venta REM-003</t>
        </is>
      </c>
      <c r="D3" s="2" t="inlineStr">
        <is>
          <t>transferencia</t>
        </is>
      </c>
      <c r="E3" s="3" t="n">
        <v>46500</v>
      </c>
      <c r="F3" s="3" t="n">
        <v>0</v>
      </c>
      <c r="G3" s="9">
        <f>G2+E3-F3</f>
        <v/>
      </c>
      <c r="H3" s="2" t="inlineStr">
        <is>
          <t>VENTA_DIRECTA</t>
        </is>
      </c>
    </row>
    <row r="4">
      <c r="A4" s="6" t="inlineStr">
        <is>
          <t>2026-03-05</t>
        </is>
      </c>
      <c r="B4" s="2" t="inlineStr">
        <is>
          <t>ingreso</t>
        </is>
      </c>
      <c r="C4" s="2" t="inlineStr">
        <is>
          <t>Cobro Venta MED-001</t>
        </is>
      </c>
      <c r="D4" s="2" t="inlineStr">
        <is>
          <t>efectivo</t>
        </is>
      </c>
      <c r="E4" s="3" t="n">
        <v>16200</v>
      </c>
      <c r="F4" s="3" t="n">
        <v>0</v>
      </c>
      <c r="G4" s="9">
        <f>G3+E4-F4</f>
        <v/>
      </c>
      <c r="H4" s="2" t="inlineStr">
        <is>
          <t>VENTA_DIRECTA</t>
        </is>
      </c>
    </row>
    <row r="5">
      <c r="A5" s="6" t="inlineStr">
        <is>
          <t>2026-03-05</t>
        </is>
      </c>
      <c r="B5" s="2" t="inlineStr">
        <is>
          <t>ingreso</t>
        </is>
      </c>
      <c r="C5" s="2" t="inlineStr">
        <is>
          <t>Cobro Venta CAL-001</t>
        </is>
      </c>
      <c r="D5" s="2" t="inlineStr">
        <is>
          <t>mercado_pago</t>
        </is>
      </c>
      <c r="E5" s="3" t="n">
        <v>46000</v>
      </c>
      <c r="F5" s="3" t="n">
        <v>0</v>
      </c>
      <c r="G5" s="9">
        <f>G4+E5-F5</f>
        <v/>
      </c>
      <c r="H5" s="2" t="inlineStr">
        <is>
          <t>VENTA_DIRECTA</t>
        </is>
      </c>
    </row>
    <row r="6">
      <c r="A6" s="6" t="inlineStr">
        <is>
          <t>2026-03-05</t>
        </is>
      </c>
      <c r="B6" s="2" t="inlineStr">
        <is>
          <t>ingreso</t>
        </is>
      </c>
      <c r="C6" s="2" t="inlineStr">
        <is>
          <t>Cobro Venta ACC-001</t>
        </is>
      </c>
      <c r="D6" s="2" t="inlineStr">
        <is>
          <t>mercado_pago</t>
        </is>
      </c>
      <c r="E6" s="3" t="n">
        <v>31350</v>
      </c>
      <c r="F6" s="3" t="n">
        <v>0</v>
      </c>
      <c r="G6" s="9">
        <f>G5+E6-F6</f>
        <v/>
      </c>
      <c r="H6" s="2" t="inlineStr">
        <is>
          <t>VENTA_DIRECTA</t>
        </is>
      </c>
    </row>
    <row r="7">
      <c r="A7" s="6" t="inlineStr">
        <is>
          <t>2026-03-05</t>
        </is>
      </c>
      <c r="B7" s="2" t="inlineStr">
        <is>
          <t>egreso</t>
        </is>
      </c>
      <c r="C7" s="2" t="inlineStr">
        <is>
          <t>Pago CF: Alquiler Showroom y Depósito</t>
        </is>
      </c>
      <c r="D7" s="2" t="inlineStr">
        <is>
          <t>transferencia</t>
        </is>
      </c>
      <c r="E7" s="3" t="n">
        <v>0</v>
      </c>
      <c r="F7" s="3" t="n">
        <v>450000</v>
      </c>
      <c r="G7" s="9">
        <f>G6+E7-F7</f>
        <v/>
      </c>
      <c r="H7" s="2" t="inlineStr">
        <is>
          <t>COSTO_FIJO</t>
        </is>
      </c>
    </row>
    <row r="8">
      <c r="A8" s="6" t="inlineStr">
        <is>
          <t>2026-03-05</t>
        </is>
      </c>
      <c r="B8" s="2" t="inlineStr">
        <is>
          <t>egreso</t>
        </is>
      </c>
      <c r="C8" s="2" t="inlineStr">
        <is>
          <t>Pago CF: Sueldos Personal Confección/Ventas</t>
        </is>
      </c>
      <c r="D8" s="2" t="inlineStr">
        <is>
          <t>transferencia</t>
        </is>
      </c>
      <c r="E8" s="3" t="n">
        <v>0</v>
      </c>
      <c r="F8" s="3" t="n">
        <v>1200000</v>
      </c>
      <c r="G8" s="9">
        <f>G7+E8-F8</f>
        <v/>
      </c>
      <c r="H8" s="2" t="inlineStr">
        <is>
          <t>COSTO_FIJO</t>
        </is>
      </c>
    </row>
    <row r="9">
      <c r="A9" s="6" t="inlineStr">
        <is>
          <t>2026-03-07</t>
        </is>
      </c>
      <c r="B9" s="2" t="inlineStr">
        <is>
          <t>ingreso</t>
        </is>
      </c>
      <c r="C9" s="2" t="inlineStr">
        <is>
          <t>Cobro Venta REM-003</t>
        </is>
      </c>
      <c r="D9" s="2" t="inlineStr">
        <is>
          <t>mercado_pago</t>
        </is>
      </c>
      <c r="E9" s="3" t="n">
        <v>62000</v>
      </c>
      <c r="F9" s="3" t="n">
        <v>0</v>
      </c>
      <c r="G9" s="9">
        <f>G8+E9-F9</f>
        <v/>
      </c>
      <c r="H9" s="2" t="inlineStr">
        <is>
          <t>VENTA_DIRECTA</t>
        </is>
      </c>
    </row>
    <row r="10">
      <c r="A10" s="6" t="inlineStr">
        <is>
          <t>2026-03-07</t>
        </is>
      </c>
      <c r="B10" s="2" t="inlineStr">
        <is>
          <t>ingreso</t>
        </is>
      </c>
      <c r="C10" s="2" t="inlineStr">
        <is>
          <t>Cobro Venta MED-002</t>
        </is>
      </c>
      <c r="D10" s="2" t="inlineStr">
        <is>
          <t>transferencia</t>
        </is>
      </c>
      <c r="E10" s="3" t="n">
        <v>4370</v>
      </c>
      <c r="F10" s="3" t="n">
        <v>0</v>
      </c>
      <c r="G10" s="9">
        <f>G9+E10-F10</f>
        <v/>
      </c>
      <c r="H10" s="2" t="inlineStr">
        <is>
          <t>VENTA_DIRECTA</t>
        </is>
      </c>
    </row>
    <row r="11">
      <c r="A11" s="6" t="inlineStr">
        <is>
          <t>2026-03-07</t>
        </is>
      </c>
      <c r="B11" s="2" t="inlineStr">
        <is>
          <t>ingreso</t>
        </is>
      </c>
      <c r="C11" s="2" t="inlineStr">
        <is>
          <t>Cobro Venta REM-004</t>
        </is>
      </c>
      <c r="D11" s="2" t="inlineStr">
        <is>
          <t>transferencia</t>
        </is>
      </c>
      <c r="E11" s="3" t="n">
        <v>35600</v>
      </c>
      <c r="F11" s="3" t="n">
        <v>0</v>
      </c>
      <c r="G11" s="9">
        <f>G10+E11-F11</f>
        <v/>
      </c>
      <c r="H11" s="2" t="inlineStr">
        <is>
          <t>VENTA_DIRECTA</t>
        </is>
      </c>
    </row>
    <row r="12">
      <c r="A12" s="6" t="inlineStr">
        <is>
          <t>2026-03-08</t>
        </is>
      </c>
      <c r="B12" s="2" t="inlineStr">
        <is>
          <t>ingreso</t>
        </is>
      </c>
      <c r="C12" s="2" t="inlineStr">
        <is>
          <t>Cobro Venta MED-001</t>
        </is>
      </c>
      <c r="D12" s="2" t="inlineStr">
        <is>
          <t>mercado_pago</t>
        </is>
      </c>
      <c r="E12" s="3" t="n">
        <v>10800</v>
      </c>
      <c r="F12" s="3" t="n">
        <v>0</v>
      </c>
      <c r="G12" s="9">
        <f>G11+E12-F12</f>
        <v/>
      </c>
      <c r="H12" s="2" t="inlineStr">
        <is>
          <t>VENTA_DIRECTA</t>
        </is>
      </c>
    </row>
    <row r="13">
      <c r="A13" s="6" t="inlineStr">
        <is>
          <t>2026-03-08</t>
        </is>
      </c>
      <c r="B13" s="2" t="inlineStr">
        <is>
          <t>ingreso</t>
        </is>
      </c>
      <c r="C13" s="2" t="inlineStr">
        <is>
          <t>Cobro Venta REM-001</t>
        </is>
      </c>
      <c r="D13" s="2" t="inlineStr">
        <is>
          <t>mercado_pago</t>
        </is>
      </c>
      <c r="E13" s="3" t="n">
        <v>50000</v>
      </c>
      <c r="F13" s="3" t="n">
        <v>0</v>
      </c>
      <c r="G13" s="9">
        <f>G12+E13-F13</f>
        <v/>
      </c>
      <c r="H13" s="2" t="inlineStr">
        <is>
          <t>VENTA_DIRECTA</t>
        </is>
      </c>
    </row>
    <row r="14">
      <c r="A14" s="6" t="inlineStr">
        <is>
          <t>2026-03-08</t>
        </is>
      </c>
      <c r="B14" s="2" t="inlineStr">
        <is>
          <t>ingreso</t>
        </is>
      </c>
      <c r="C14" s="2" t="inlineStr">
        <is>
          <t>Cobro Venta REM-001</t>
        </is>
      </c>
      <c r="D14" s="2" t="inlineStr">
        <is>
          <t>transferencia</t>
        </is>
      </c>
      <c r="E14" s="3" t="n">
        <v>25000</v>
      </c>
      <c r="F14" s="3" t="n">
        <v>0</v>
      </c>
      <c r="G14" s="9">
        <f>G13+E14-F14</f>
        <v/>
      </c>
      <c r="H14" s="2" t="inlineStr">
        <is>
          <t>VENTA_DIRECTA</t>
        </is>
      </c>
    </row>
    <row r="15">
      <c r="A15" s="6" t="inlineStr">
        <is>
          <t>2026-03-10</t>
        </is>
      </c>
      <c r="B15" s="2" t="inlineStr">
        <is>
          <t>egreso</t>
        </is>
      </c>
      <c r="C15" s="2" t="inlineStr">
        <is>
          <t>Pago CF: Servicios (Luz, Internet, Gas)</t>
        </is>
      </c>
      <c r="D15" s="2" t="inlineStr">
        <is>
          <t>transferencia</t>
        </is>
      </c>
      <c r="E15" s="3" t="n">
        <v>0</v>
      </c>
      <c r="F15" s="3" t="n">
        <v>95000</v>
      </c>
      <c r="G15" s="9">
        <f>G14+E15-F15</f>
        <v/>
      </c>
      <c r="H15" s="2" t="inlineStr">
        <is>
          <t>COSTO_FIJO</t>
        </is>
      </c>
    </row>
    <row r="16">
      <c r="A16" s="6" t="inlineStr">
        <is>
          <t>2026-03-10</t>
        </is>
      </c>
      <c r="B16" s="2" t="inlineStr">
        <is>
          <t>egreso</t>
        </is>
      </c>
      <c r="C16" s="2" t="inlineStr">
        <is>
          <t>Pago CF: Honorarios Contador</t>
        </is>
      </c>
      <c r="D16" s="2" t="inlineStr">
        <is>
          <t>transferencia</t>
        </is>
      </c>
      <c r="E16" s="3" t="n">
        <v>0</v>
      </c>
      <c r="F16" s="3" t="n">
        <v>80000</v>
      </c>
      <c r="G16" s="9">
        <f>G15+E16-F16</f>
        <v/>
      </c>
      <c r="H16" s="2" t="inlineStr">
        <is>
          <t>COSTO_FIJO</t>
        </is>
      </c>
    </row>
    <row r="17">
      <c r="A17" s="6" t="inlineStr">
        <is>
          <t>2026-03-10</t>
        </is>
      </c>
      <c r="B17" s="2" t="inlineStr">
        <is>
          <t>egreso</t>
        </is>
      </c>
      <c r="C17" s="2" t="inlineStr">
        <is>
          <t>Pago CF: Software de Gestión y Tienda Cloud</t>
        </is>
      </c>
      <c r="D17" s="2" t="inlineStr">
        <is>
          <t>transferencia</t>
        </is>
      </c>
      <c r="E17" s="3" t="n">
        <v>0</v>
      </c>
      <c r="F17" s="3" t="n">
        <v>35000</v>
      </c>
      <c r="G17" s="9">
        <f>G16+E17-F17</f>
        <v/>
      </c>
      <c r="H17" s="2" t="inlineStr">
        <is>
          <t>COSTO_FIJO</t>
        </is>
      </c>
    </row>
    <row r="18">
      <c r="A18" s="6" t="inlineStr">
        <is>
          <t>2026-03-12</t>
        </is>
      </c>
      <c r="B18" s="2" t="inlineStr">
        <is>
          <t>ingreso</t>
        </is>
      </c>
      <c r="C18" s="2" t="inlineStr">
        <is>
          <t>Cobro Venta PAN-001</t>
        </is>
      </c>
      <c r="D18" s="2" t="inlineStr">
        <is>
          <t>efectivo</t>
        </is>
      </c>
      <c r="E18" s="3" t="n">
        <v>176000</v>
      </c>
      <c r="F18" s="3" t="n">
        <v>0</v>
      </c>
      <c r="G18" s="9">
        <f>G17+E18-F18</f>
        <v/>
      </c>
      <c r="H18" s="2" t="inlineStr">
        <is>
          <t>VENTA_DIRECTA</t>
        </is>
      </c>
    </row>
    <row r="19">
      <c r="A19" s="6" t="inlineStr">
        <is>
          <t>2026-03-12</t>
        </is>
      </c>
      <c r="B19" s="2" t="inlineStr">
        <is>
          <t>ingreso</t>
        </is>
      </c>
      <c r="C19" s="2" t="inlineStr">
        <is>
          <t>Cobro Venta MED-001</t>
        </is>
      </c>
      <c r="D19" s="2" t="inlineStr">
        <is>
          <t>efectivo</t>
        </is>
      </c>
      <c r="E19" s="3" t="n">
        <v>16200</v>
      </c>
      <c r="F19" s="3" t="n">
        <v>0</v>
      </c>
      <c r="G19" s="9">
        <f>G18+E19-F19</f>
        <v/>
      </c>
      <c r="H19" s="2" t="inlineStr">
        <is>
          <t>VENTA_DIRECTA</t>
        </is>
      </c>
    </row>
    <row r="20">
      <c r="A20" s="6" t="inlineStr">
        <is>
          <t>2026-03-12</t>
        </is>
      </c>
      <c r="B20" s="2" t="inlineStr">
        <is>
          <t>ingreso</t>
        </is>
      </c>
      <c r="C20" s="2" t="inlineStr">
        <is>
          <t>Cobro Venta ACC-003</t>
        </is>
      </c>
      <c r="D20" s="2" t="inlineStr">
        <is>
          <t>efectivo</t>
        </is>
      </c>
      <c r="E20" s="3" t="n">
        <v>104000</v>
      </c>
      <c r="F20" s="3" t="n">
        <v>0</v>
      </c>
      <c r="G20" s="9">
        <f>G19+E20-F20</f>
        <v/>
      </c>
      <c r="H20" s="2" t="inlineStr">
        <is>
          <t>VENTA_DIRECTA</t>
        </is>
      </c>
    </row>
    <row r="21">
      <c r="A21" s="6" t="inlineStr">
        <is>
          <t>2026-03-13</t>
        </is>
      </c>
      <c r="B21" s="2" t="inlineStr">
        <is>
          <t>ingreso</t>
        </is>
      </c>
      <c r="C21" s="2" t="inlineStr">
        <is>
          <t>Cobro Venta CAM-001</t>
        </is>
      </c>
      <c r="D21" s="2" t="inlineStr">
        <is>
          <t>transferencia</t>
        </is>
      </c>
      <c r="E21" s="3" t="n">
        <v>69000</v>
      </c>
      <c r="F21" s="3" t="n">
        <v>0</v>
      </c>
      <c r="G21" s="9">
        <f>G20+E21-F21</f>
        <v/>
      </c>
      <c r="H21" s="2" t="inlineStr">
        <is>
          <t>VENTA_DIRECTA</t>
        </is>
      </c>
    </row>
    <row r="22">
      <c r="A22" s="6" t="inlineStr">
        <is>
          <t>2026-03-14</t>
        </is>
      </c>
      <c r="B22" s="2" t="inlineStr">
        <is>
          <t>ingreso</t>
        </is>
      </c>
      <c r="C22" s="2" t="inlineStr">
        <is>
          <t>Cobro Venta REM-001</t>
        </is>
      </c>
      <c r="D22" s="2" t="inlineStr">
        <is>
          <t>mercado_pago</t>
        </is>
      </c>
      <c r="E22" s="3" t="n">
        <v>37500</v>
      </c>
      <c r="F22" s="3" t="n">
        <v>0</v>
      </c>
      <c r="G22" s="9">
        <f>G21+E22-F22</f>
        <v/>
      </c>
      <c r="H22" s="2" t="inlineStr">
        <is>
          <t>VENTA_DIRECTA</t>
        </is>
      </c>
    </row>
    <row r="23">
      <c r="A23" s="6" t="inlineStr">
        <is>
          <t>2026-03-14</t>
        </is>
      </c>
      <c r="B23" s="2" t="inlineStr">
        <is>
          <t>ingreso</t>
        </is>
      </c>
      <c r="C23" s="2" t="inlineStr">
        <is>
          <t>Cobro Venta TOP-001</t>
        </is>
      </c>
      <c r="D23" s="2" t="inlineStr">
        <is>
          <t>mercado_pago</t>
        </is>
      </c>
      <c r="E23" s="3" t="n">
        <v>44700</v>
      </c>
      <c r="F23" s="3" t="n">
        <v>0</v>
      </c>
      <c r="G23" s="9">
        <f>G22+E23-F23</f>
        <v/>
      </c>
      <c r="H23" s="2" t="inlineStr">
        <is>
          <t>VENTA_DIRECTA</t>
        </is>
      </c>
    </row>
    <row r="24">
      <c r="A24" s="6" t="inlineStr">
        <is>
          <t>2026-03-15</t>
        </is>
      </c>
      <c r="B24" s="2" t="inlineStr">
        <is>
          <t>ingreso</t>
        </is>
      </c>
      <c r="C24" s="2" t="inlineStr">
        <is>
          <t>Cobro Venta BUZ-001</t>
        </is>
      </c>
      <c r="D24" s="2" t="inlineStr">
        <is>
          <t>mercado_pago</t>
        </is>
      </c>
      <c r="E24" s="3" t="n">
        <v>68000</v>
      </c>
      <c r="F24" s="3" t="n">
        <v>0</v>
      </c>
      <c r="G24" s="9">
        <f>G23+E24-F24</f>
        <v/>
      </c>
      <c r="H24" s="2" t="inlineStr">
        <is>
          <t>VENTA_DIRECTA</t>
        </is>
      </c>
    </row>
    <row r="25">
      <c r="A25" s="6" t="inlineStr">
        <is>
          <t>2026-03-15</t>
        </is>
      </c>
      <c r="B25" s="2" t="inlineStr">
        <is>
          <t>ingreso</t>
        </is>
      </c>
      <c r="C25" s="2" t="inlineStr">
        <is>
          <t>Cobro Venta REM-001</t>
        </is>
      </c>
      <c r="D25" s="2" t="inlineStr">
        <is>
          <t>mercado_pago</t>
        </is>
      </c>
      <c r="E25" s="3" t="n">
        <v>12500</v>
      </c>
      <c r="F25" s="3" t="n">
        <v>0</v>
      </c>
      <c r="G25" s="9">
        <f>G24+E25-F25</f>
        <v/>
      </c>
      <c r="H25" s="2" t="inlineStr">
        <is>
          <t>VENTA_DIRECTA</t>
        </is>
      </c>
    </row>
    <row r="26">
      <c r="A26" s="6" t="inlineStr">
        <is>
          <t>2026-03-15</t>
        </is>
      </c>
      <c r="B26" s="2" t="inlineStr">
        <is>
          <t>egreso</t>
        </is>
      </c>
      <c r="C26" s="2" t="inlineStr">
        <is>
          <t>Pago CF: Cargas Sociales F.931</t>
        </is>
      </c>
      <c r="D26" s="2" t="inlineStr">
        <is>
          <t>transferencia</t>
        </is>
      </c>
      <c r="E26" s="3" t="n">
        <v>0</v>
      </c>
      <c r="F26" s="3" t="n">
        <v>420000</v>
      </c>
      <c r="G26" s="9">
        <f>G25+E26-F26</f>
        <v/>
      </c>
      <c r="H26" s="2" t="inlineStr">
        <is>
          <t>COSTO_FIJO</t>
        </is>
      </c>
    </row>
    <row r="27">
      <c r="A27" s="6" t="inlineStr">
        <is>
          <t>2026-03-16</t>
        </is>
      </c>
      <c r="B27" s="2" t="inlineStr">
        <is>
          <t>ingreso</t>
        </is>
      </c>
      <c r="C27" s="2" t="inlineStr">
        <is>
          <t>Cobro Venta MED-001</t>
        </is>
      </c>
      <c r="D27" s="2" t="inlineStr">
        <is>
          <t>transferencia</t>
        </is>
      </c>
      <c r="E27" s="3" t="n">
        <v>5130</v>
      </c>
      <c r="F27" s="3" t="n">
        <v>0</v>
      </c>
      <c r="G27" s="9">
        <f>G26+E27-F27</f>
        <v/>
      </c>
      <c r="H27" s="2" t="inlineStr">
        <is>
          <t>VENTA_DIRECTA</t>
        </is>
      </c>
    </row>
    <row r="28">
      <c r="A28" s="6" t="inlineStr">
        <is>
          <t>2026-03-17</t>
        </is>
      </c>
      <c r="B28" s="2" t="inlineStr">
        <is>
          <t>ingreso</t>
        </is>
      </c>
      <c r="C28" s="2" t="inlineStr">
        <is>
          <t>Cobro Venta ACC-001</t>
        </is>
      </c>
      <c r="D28" s="2" t="inlineStr">
        <is>
          <t>mercado_pago</t>
        </is>
      </c>
      <c r="E28" s="3" t="n">
        <v>33000</v>
      </c>
      <c r="F28" s="3" t="n">
        <v>0</v>
      </c>
      <c r="G28" s="9">
        <f>G27+E28-F28</f>
        <v/>
      </c>
      <c r="H28" s="2" t="inlineStr">
        <is>
          <t>VENTA_DIRECTA</t>
        </is>
      </c>
    </row>
    <row r="29">
      <c r="A29" s="6" t="inlineStr">
        <is>
          <t>2026-03-17</t>
        </is>
      </c>
      <c r="B29" s="2" t="inlineStr">
        <is>
          <t>ingreso</t>
        </is>
      </c>
      <c r="C29" s="2" t="inlineStr">
        <is>
          <t>Cobro Venta TOP-002</t>
        </is>
      </c>
      <c r="D29" s="2" t="inlineStr">
        <is>
          <t>mercado_pago</t>
        </is>
      </c>
      <c r="E29" s="3" t="n">
        <v>66000</v>
      </c>
      <c r="F29" s="3" t="n">
        <v>0</v>
      </c>
      <c r="G29" s="9">
        <f>G28+E29-F29</f>
        <v/>
      </c>
      <c r="H29" s="2" t="inlineStr">
        <is>
          <t>VENTA_DIRECTA</t>
        </is>
      </c>
    </row>
    <row r="30">
      <c r="A30" s="6" t="inlineStr">
        <is>
          <t>2026-03-18</t>
        </is>
      </c>
      <c r="B30" s="2" t="inlineStr">
        <is>
          <t>ingreso</t>
        </is>
      </c>
      <c r="C30" s="2" t="inlineStr">
        <is>
          <t>Cobro Venta CAL-002</t>
        </is>
      </c>
      <c r="D30" s="2" t="inlineStr">
        <is>
          <t>efectivo</t>
        </is>
      </c>
      <c r="E30" s="3" t="n">
        <v>55500</v>
      </c>
      <c r="F30" s="3" t="n">
        <v>0</v>
      </c>
      <c r="G30" s="9">
        <f>G29+E30-F30</f>
        <v/>
      </c>
      <c r="H30" s="2" t="inlineStr">
        <is>
          <t>VENTA_DIRECTA</t>
        </is>
      </c>
    </row>
    <row r="31">
      <c r="A31" s="6" t="inlineStr">
        <is>
          <t>2026-03-18</t>
        </is>
      </c>
      <c r="B31" s="2" t="inlineStr">
        <is>
          <t>egreso</t>
        </is>
      </c>
      <c r="C31" s="2" t="inlineStr">
        <is>
          <t>Pago CF: Marketing y Pauta Digital (Meta/Google)</t>
        </is>
      </c>
      <c r="D31" s="2" t="inlineStr">
        <is>
          <t>transferencia</t>
        </is>
      </c>
      <c r="E31" s="3" t="n">
        <v>0</v>
      </c>
      <c r="F31" s="3" t="n">
        <v>220000</v>
      </c>
      <c r="G31" s="9">
        <f>G30+E31-F31</f>
        <v/>
      </c>
      <c r="H31" s="2" t="inlineStr">
        <is>
          <t>COSTO_FIJO</t>
        </is>
      </c>
    </row>
    <row r="32">
      <c r="A32" s="6" t="inlineStr">
        <is>
          <t>2026-03-19</t>
        </is>
      </c>
      <c r="B32" s="2" t="inlineStr">
        <is>
          <t>ingreso</t>
        </is>
      </c>
      <c r="C32" s="2" t="inlineStr">
        <is>
          <t>Cobro Venta BUZ-003</t>
        </is>
      </c>
      <c r="D32" s="2" t="inlineStr">
        <is>
          <t>transferencia</t>
        </is>
      </c>
      <c r="E32" s="3" t="n">
        <v>115500</v>
      </c>
      <c r="F32" s="3" t="n">
        <v>0</v>
      </c>
      <c r="G32" s="9">
        <f>G31+E32-F32</f>
        <v/>
      </c>
      <c r="H32" s="2" t="inlineStr">
        <is>
          <t>VENTA_DIRECTA</t>
        </is>
      </c>
    </row>
    <row r="33">
      <c r="A33" s="6" t="inlineStr">
        <is>
          <t>2026-03-20</t>
        </is>
      </c>
      <c r="B33" s="2" t="inlineStr">
        <is>
          <t>ingreso</t>
        </is>
      </c>
      <c r="C33" s="2" t="inlineStr">
        <is>
          <t>Cobro Venta TOP-002</t>
        </is>
      </c>
      <c r="D33" s="2" t="inlineStr">
        <is>
          <t>efectivo</t>
        </is>
      </c>
      <c r="E33" s="3" t="n">
        <v>16500</v>
      </c>
      <c r="F33" s="3" t="n">
        <v>0</v>
      </c>
      <c r="G33" s="9">
        <f>G32+E33-F33</f>
        <v/>
      </c>
      <c r="H33" s="2" t="inlineStr">
        <is>
          <t>VENTA_DIRECTA</t>
        </is>
      </c>
    </row>
    <row r="34">
      <c r="A34" s="6" t="inlineStr">
        <is>
          <t>2026-03-20</t>
        </is>
      </c>
      <c r="B34" s="2" t="inlineStr">
        <is>
          <t>ingreso</t>
        </is>
      </c>
      <c r="C34" s="2" t="inlineStr">
        <is>
          <t>Cobro Venta REM-004</t>
        </is>
      </c>
      <c r="D34" s="2" t="inlineStr">
        <is>
          <t>mercado_pago</t>
        </is>
      </c>
      <c r="E34" s="3" t="n">
        <v>71200</v>
      </c>
      <c r="F34" s="3" t="n">
        <v>0</v>
      </c>
      <c r="G34" s="9">
        <f>G33+E34-F34</f>
        <v/>
      </c>
      <c r="H34" s="2" t="inlineStr">
        <is>
          <t>VENTA_DIRECTA</t>
        </is>
      </c>
    </row>
    <row r="35">
      <c r="A35" s="6" t="inlineStr">
        <is>
          <t>2026-03-20</t>
        </is>
      </c>
      <c r="B35" s="2" t="inlineStr">
        <is>
          <t>egreso</t>
        </is>
      </c>
      <c r="C35" s="2" t="inlineStr">
        <is>
          <t>Pago Proveedor SKU REM-001</t>
        </is>
      </c>
      <c r="D35" s="2" t="inlineStr">
        <is>
          <t>transferencia</t>
        </is>
      </c>
      <c r="E35" s="3" t="n">
        <v>0</v>
      </c>
      <c r="F35" s="3" t="n">
        <v>111780</v>
      </c>
      <c r="G35" s="9">
        <f>G34+E35-F35</f>
        <v/>
      </c>
      <c r="H35" s="2" t="inlineStr">
        <is>
          <t>PAGO_PROV</t>
        </is>
      </c>
    </row>
    <row r="36">
      <c r="A36" s="6" t="inlineStr">
        <is>
          <t>2026-03-20</t>
        </is>
      </c>
      <c r="B36" s="2" t="inlineStr">
        <is>
          <t>egreso</t>
        </is>
      </c>
      <c r="C36" s="2" t="inlineStr">
        <is>
          <t>Pago Proveedor SKU REM-002</t>
        </is>
      </c>
      <c r="D36" s="2" t="inlineStr">
        <is>
          <t>transferencia</t>
        </is>
      </c>
      <c r="E36" s="3" t="n">
        <v>0</v>
      </c>
      <c r="F36" s="3" t="n">
        <v>95220</v>
      </c>
      <c r="G36" s="9">
        <f>G35+E36-F36</f>
        <v/>
      </c>
      <c r="H36" s="2" t="inlineStr">
        <is>
          <t>PAGO_PROV</t>
        </is>
      </c>
    </row>
    <row r="37">
      <c r="A37" s="6" t="inlineStr">
        <is>
          <t>2026-03-20</t>
        </is>
      </c>
      <c r="B37" s="2" t="inlineStr">
        <is>
          <t>egreso</t>
        </is>
      </c>
      <c r="C37" s="2" t="inlineStr">
        <is>
          <t>Pago Proveedor SKU REM-003</t>
        </is>
      </c>
      <c r="D37" s="2" t="inlineStr">
        <is>
          <t>transferencia</t>
        </is>
      </c>
      <c r="E37" s="3" t="n">
        <v>0</v>
      </c>
      <c r="F37" s="3" t="n">
        <v>151800</v>
      </c>
      <c r="G37" s="9">
        <f>G36+E37-F37</f>
        <v/>
      </c>
      <c r="H37" s="2" t="inlineStr">
        <is>
          <t>PAGO_PROV</t>
        </is>
      </c>
    </row>
    <row r="38">
      <c r="A38" s="6" t="inlineStr">
        <is>
          <t>2026-03-20</t>
        </is>
      </c>
      <c r="B38" s="2" t="inlineStr">
        <is>
          <t>egreso</t>
        </is>
      </c>
      <c r="C38" s="2" t="inlineStr">
        <is>
          <t>Pago Proveedor SKU REM-004</t>
        </is>
      </c>
      <c r="D38" s="2" t="inlineStr">
        <is>
          <t>transferencia</t>
        </is>
      </c>
      <c r="E38" s="3" t="n">
        <v>0</v>
      </c>
      <c r="F38" s="3" t="n">
        <v>108376</v>
      </c>
      <c r="G38" s="9">
        <f>G37+E38-F38</f>
        <v/>
      </c>
      <c r="H38" s="2" t="inlineStr">
        <is>
          <t>PAGO_PROV</t>
        </is>
      </c>
    </row>
    <row r="39">
      <c r="A39" s="6" t="inlineStr">
        <is>
          <t>2026-03-20</t>
        </is>
      </c>
      <c r="B39" s="2" t="inlineStr">
        <is>
          <t>egreso</t>
        </is>
      </c>
      <c r="C39" s="2" t="inlineStr">
        <is>
          <t>Pago Proveedor SKU BUZ-001</t>
        </is>
      </c>
      <c r="D39" s="2" t="inlineStr">
        <is>
          <t>transferencia</t>
        </is>
      </c>
      <c r="E39" s="3" t="n">
        <v>0</v>
      </c>
      <c r="F39" s="3" t="n">
        <v>346840</v>
      </c>
      <c r="G39" s="9">
        <f>G38+E39-F39</f>
        <v/>
      </c>
      <c r="H39" s="2" t="inlineStr">
        <is>
          <t>PAGO_PROV</t>
        </is>
      </c>
    </row>
    <row r="40">
      <c r="A40" s="6" t="inlineStr">
        <is>
          <t>2026-03-20</t>
        </is>
      </c>
      <c r="B40" s="2" t="inlineStr">
        <is>
          <t>egreso</t>
        </is>
      </c>
      <c r="C40" s="2" t="inlineStr">
        <is>
          <t>Pago Proveedor SKU BUZ-002</t>
        </is>
      </c>
      <c r="D40" s="2" t="inlineStr">
        <is>
          <t>transferencia</t>
        </is>
      </c>
      <c r="E40" s="3" t="n">
        <v>0</v>
      </c>
      <c r="F40" s="3" t="n">
        <v>191360</v>
      </c>
      <c r="G40" s="9">
        <f>G39+E40-F40</f>
        <v/>
      </c>
      <c r="H40" s="2" t="inlineStr">
        <is>
          <t>PAGO_PROV</t>
        </is>
      </c>
    </row>
    <row r="41">
      <c r="A41" s="6" t="inlineStr">
        <is>
          <t>2026-03-20</t>
        </is>
      </c>
      <c r="B41" s="2" t="inlineStr">
        <is>
          <t>egreso</t>
        </is>
      </c>
      <c r="C41" s="2" t="inlineStr">
        <is>
          <t>Pago Proveedor SKU BUZ-003</t>
        </is>
      </c>
      <c r="D41" s="2" t="inlineStr">
        <is>
          <t>transferencia</t>
        </is>
      </c>
      <c r="E41" s="3" t="n">
        <v>0</v>
      </c>
      <c r="F41" s="3" t="n">
        <v>253460</v>
      </c>
      <c r="G41" s="9">
        <f>G40+E41-F41</f>
        <v/>
      </c>
      <c r="H41" s="2" t="inlineStr">
        <is>
          <t>PAGO_PROV</t>
        </is>
      </c>
    </row>
    <row r="42">
      <c r="A42" s="6" t="inlineStr">
        <is>
          <t>2026-03-20</t>
        </is>
      </c>
      <c r="B42" s="2" t="inlineStr">
        <is>
          <t>egreso</t>
        </is>
      </c>
      <c r="C42" s="2" t="inlineStr">
        <is>
          <t>Pago Proveedor SKU CAM-001</t>
        </is>
      </c>
      <c r="D42" s="2" t="inlineStr">
        <is>
          <t>transferencia</t>
        </is>
      </c>
      <c r="E42" s="3" t="n">
        <v>0</v>
      </c>
      <c r="F42" s="3" t="n">
        <v>621920</v>
      </c>
      <c r="G42" s="9">
        <f>G41+E42-F42</f>
        <v/>
      </c>
      <c r="H42" s="2" t="inlineStr">
        <is>
          <t>PAGO_PROV</t>
        </is>
      </c>
    </row>
    <row r="43">
      <c r="A43" s="6" t="inlineStr">
        <is>
          <t>2026-03-20</t>
        </is>
      </c>
      <c r="B43" s="2" t="inlineStr">
        <is>
          <t>egreso</t>
        </is>
      </c>
      <c r="C43" s="2" t="inlineStr">
        <is>
          <t>Pago Proveedor SKU CAM-002</t>
        </is>
      </c>
      <c r="D43" s="2" t="inlineStr">
        <is>
          <t>transferencia</t>
        </is>
      </c>
      <c r="E43" s="3" t="n">
        <v>0</v>
      </c>
      <c r="F43" s="3" t="n">
        <v>656880</v>
      </c>
      <c r="G43" s="9">
        <f>G42+E43-F43</f>
        <v/>
      </c>
      <c r="H43" s="2" t="inlineStr">
        <is>
          <t>PAGO_PROV</t>
        </is>
      </c>
    </row>
    <row r="44">
      <c r="A44" s="6" t="inlineStr">
        <is>
          <t>2026-03-20</t>
        </is>
      </c>
      <c r="B44" s="2" t="inlineStr">
        <is>
          <t>egreso</t>
        </is>
      </c>
      <c r="C44" s="2" t="inlineStr">
        <is>
          <t>Pago Proveedor SKU CAM-003</t>
        </is>
      </c>
      <c r="D44" s="2" t="inlineStr">
        <is>
          <t>transferencia</t>
        </is>
      </c>
      <c r="E44" s="3" t="n">
        <v>0</v>
      </c>
      <c r="F44" s="3" t="n">
        <v>441600</v>
      </c>
      <c r="G44" s="9">
        <f>G43+E44-F44</f>
        <v/>
      </c>
      <c r="H44" s="2" t="inlineStr">
        <is>
          <t>PAGO_PROV</t>
        </is>
      </c>
    </row>
    <row r="45">
      <c r="A45" s="6" t="inlineStr">
        <is>
          <t>2026-03-20</t>
        </is>
      </c>
      <c r="B45" s="2" t="inlineStr">
        <is>
          <t>egreso</t>
        </is>
      </c>
      <c r="C45" s="2" t="inlineStr">
        <is>
          <t>Pago Proveedor SKU PAN-001</t>
        </is>
      </c>
      <c r="D45" s="2" t="inlineStr">
        <is>
          <t>transferencia</t>
        </is>
      </c>
      <c r="E45" s="3" t="n">
        <v>0</v>
      </c>
      <c r="F45" s="3" t="n">
        <v>318780</v>
      </c>
      <c r="G45" s="9">
        <f>G44+E45-F45</f>
        <v/>
      </c>
      <c r="H45" s="2" t="inlineStr">
        <is>
          <t>PAGO_PROV</t>
        </is>
      </c>
    </row>
    <row r="46">
      <c r="A46" s="6" t="inlineStr">
        <is>
          <t>2026-03-20</t>
        </is>
      </c>
      <c r="B46" s="2" t="inlineStr">
        <is>
          <t>egreso</t>
        </is>
      </c>
      <c r="C46" s="2" t="inlineStr">
        <is>
          <t>Pago Proveedor SKU PAN-002</t>
        </is>
      </c>
      <c r="D46" s="2" t="inlineStr">
        <is>
          <t>transferencia</t>
        </is>
      </c>
      <c r="E46" s="3" t="n">
        <v>0</v>
      </c>
      <c r="F46" s="3" t="n">
        <v>394680</v>
      </c>
      <c r="G46" s="9">
        <f>G45+E46-F46</f>
        <v/>
      </c>
      <c r="H46" s="2" t="inlineStr">
        <is>
          <t>PAGO_PROV</t>
        </is>
      </c>
    </row>
    <row r="47">
      <c r="A47" s="6" t="inlineStr">
        <is>
          <t>2026-03-20</t>
        </is>
      </c>
      <c r="B47" s="2" t="inlineStr">
        <is>
          <t>egreso</t>
        </is>
      </c>
      <c r="C47" s="2" t="inlineStr">
        <is>
          <t>Pago Proveedor SKU PAN-003</t>
        </is>
      </c>
      <c r="D47" s="2" t="inlineStr">
        <is>
          <t>transferencia</t>
        </is>
      </c>
      <c r="E47" s="3" t="n">
        <v>0</v>
      </c>
      <c r="F47" s="3" t="n">
        <v>345000</v>
      </c>
      <c r="G47" s="9">
        <f>G46+E47-F47</f>
        <v/>
      </c>
      <c r="H47" s="2" t="inlineStr">
        <is>
          <t>PAGO_PROV</t>
        </is>
      </c>
    </row>
    <row r="48">
      <c r="A48" s="6" t="inlineStr">
        <is>
          <t>2026-03-20</t>
        </is>
      </c>
      <c r="B48" s="2" t="inlineStr">
        <is>
          <t>egreso</t>
        </is>
      </c>
      <c r="C48" s="2" t="inlineStr">
        <is>
          <t>Pago Proveedor SKU CAL-001</t>
        </is>
      </c>
      <c r="D48" s="2" t="inlineStr">
        <is>
          <t>transferencia</t>
        </is>
      </c>
      <c r="E48" s="3" t="n">
        <v>0</v>
      </c>
      <c r="F48" s="3" t="n">
        <v>164220</v>
      </c>
      <c r="G48" s="9">
        <f>G47+E48-F48</f>
        <v/>
      </c>
      <c r="H48" s="2" t="inlineStr">
        <is>
          <t>PAGO_PROV</t>
        </is>
      </c>
    </row>
    <row r="49">
      <c r="A49" s="6" t="inlineStr">
        <is>
          <t>2026-03-20</t>
        </is>
      </c>
      <c r="B49" s="2" t="inlineStr">
        <is>
          <t>egreso</t>
        </is>
      </c>
      <c r="C49" s="2" t="inlineStr">
        <is>
          <t>Pago Proveedor SKU CAL-002</t>
        </is>
      </c>
      <c r="D49" s="2" t="inlineStr">
        <is>
          <t>transferencia</t>
        </is>
      </c>
      <c r="E49" s="3" t="n">
        <v>0</v>
      </c>
      <c r="F49" s="3" t="n">
        <v>156400</v>
      </c>
      <c r="G49" s="9">
        <f>G48+E49-F49</f>
        <v/>
      </c>
      <c r="H49" s="2" t="inlineStr">
        <is>
          <t>PAGO_PROV</t>
        </is>
      </c>
    </row>
    <row r="50">
      <c r="A50" s="6" t="inlineStr">
        <is>
          <t>2026-03-20</t>
        </is>
      </c>
      <c r="B50" s="2" t="inlineStr">
        <is>
          <t>egreso</t>
        </is>
      </c>
      <c r="C50" s="2" t="inlineStr">
        <is>
          <t>Pago Proveedor SKU TOP-001</t>
        </is>
      </c>
      <c r="D50" s="2" t="inlineStr">
        <is>
          <t>transferencia</t>
        </is>
      </c>
      <c r="E50" s="3" t="n">
        <v>0</v>
      </c>
      <c r="F50" s="3" t="n">
        <v>116380</v>
      </c>
      <c r="G50" s="9">
        <f>G49+E50-F50</f>
        <v/>
      </c>
      <c r="H50" s="2" t="inlineStr">
        <is>
          <t>PAGO_PROV</t>
        </is>
      </c>
    </row>
    <row r="51">
      <c r="A51" s="6" t="inlineStr">
        <is>
          <t>2026-03-20</t>
        </is>
      </c>
      <c r="B51" s="2" t="inlineStr">
        <is>
          <t>egreso</t>
        </is>
      </c>
      <c r="C51" s="2" t="inlineStr">
        <is>
          <t>Pago Proveedor SKU TOP-002</t>
        </is>
      </c>
      <c r="D51" s="2" t="inlineStr">
        <is>
          <t>transferencia</t>
        </is>
      </c>
      <c r="E51" s="3" t="n">
        <v>0</v>
      </c>
      <c r="F51" s="3" t="n">
        <v>96968</v>
      </c>
      <c r="G51" s="9">
        <f>G50+E51-F51</f>
        <v/>
      </c>
      <c r="H51" s="2" t="inlineStr">
        <is>
          <t>PAGO_PROV</t>
        </is>
      </c>
    </row>
    <row r="52">
      <c r="A52" s="6" t="inlineStr">
        <is>
          <t>2026-03-20</t>
        </is>
      </c>
      <c r="B52" s="2" t="inlineStr">
        <is>
          <t>egreso</t>
        </is>
      </c>
      <c r="C52" s="2" t="inlineStr">
        <is>
          <t>Pago Proveedor SKU MED-001</t>
        </is>
      </c>
      <c r="D52" s="2" t="inlineStr">
        <is>
          <t>transferencia</t>
        </is>
      </c>
      <c r="E52" s="3" t="n">
        <v>0</v>
      </c>
      <c r="F52" s="3" t="n">
        <v>29716</v>
      </c>
      <c r="G52" s="9">
        <f>G51+E52-F52</f>
        <v/>
      </c>
      <c r="H52" s="2" t="inlineStr">
        <is>
          <t>PAGO_PROV</t>
        </is>
      </c>
    </row>
    <row r="53">
      <c r="A53" s="6" t="inlineStr">
        <is>
          <t>2026-03-20</t>
        </is>
      </c>
      <c r="B53" s="2" t="inlineStr">
        <is>
          <t>egreso</t>
        </is>
      </c>
      <c r="C53" s="2" t="inlineStr">
        <is>
          <t>Pago Proveedor SKU MED-002</t>
        </is>
      </c>
      <c r="D53" s="2" t="inlineStr">
        <is>
          <t>transferencia</t>
        </is>
      </c>
      <c r="E53" s="3" t="n">
        <v>0</v>
      </c>
      <c r="F53" s="3" t="n">
        <v>32384</v>
      </c>
      <c r="G53" s="9">
        <f>G52+E53-F53</f>
        <v/>
      </c>
      <c r="H53" s="2" t="inlineStr">
        <is>
          <t>PAGO_PROV</t>
        </is>
      </c>
    </row>
    <row r="54">
      <c r="A54" s="6" t="inlineStr">
        <is>
          <t>2026-03-20</t>
        </is>
      </c>
      <c r="B54" s="2" t="inlineStr">
        <is>
          <t>egreso</t>
        </is>
      </c>
      <c r="C54" s="2" t="inlineStr">
        <is>
          <t>Pago Proveedor SKU ACC-001</t>
        </is>
      </c>
      <c r="D54" s="2" t="inlineStr">
        <is>
          <t>transferencia</t>
        </is>
      </c>
      <c r="E54" s="3" t="n">
        <v>0</v>
      </c>
      <c r="F54" s="3" t="n">
        <v>76912</v>
      </c>
      <c r="G54" s="9">
        <f>G53+E54-F54</f>
        <v/>
      </c>
      <c r="H54" s="2" t="inlineStr">
        <is>
          <t>PAGO_PROV</t>
        </is>
      </c>
    </row>
    <row r="55">
      <c r="A55" s="6" t="inlineStr">
        <is>
          <t>2026-03-20</t>
        </is>
      </c>
      <c r="B55" s="2" t="inlineStr">
        <is>
          <t>egreso</t>
        </is>
      </c>
      <c r="C55" s="2" t="inlineStr">
        <is>
          <t>Pago Proveedor SKU ACC-002</t>
        </is>
      </c>
      <c r="D55" s="2" t="inlineStr">
        <is>
          <t>transferencia</t>
        </is>
      </c>
      <c r="E55" s="3" t="n">
        <v>0</v>
      </c>
      <c r="F55" s="3" t="n">
        <v>58880</v>
      </c>
      <c r="G55" s="9">
        <f>G54+E55-F55</f>
        <v/>
      </c>
      <c r="H55" s="2" t="inlineStr">
        <is>
          <t>PAGO_PROV</t>
        </is>
      </c>
    </row>
    <row r="56">
      <c r="A56" s="6" t="inlineStr">
        <is>
          <t>2026-03-20</t>
        </is>
      </c>
      <c r="B56" s="2" t="inlineStr">
        <is>
          <t>egreso</t>
        </is>
      </c>
      <c r="C56" s="2" t="inlineStr">
        <is>
          <t>Pago CF: Logística y Envíos (Andreani/Fletes)</t>
        </is>
      </c>
      <c r="D56" s="2" t="inlineStr">
        <is>
          <t>transferencia</t>
        </is>
      </c>
      <c r="E56" s="3" t="n">
        <v>0</v>
      </c>
      <c r="F56" s="3" t="n">
        <v>150000</v>
      </c>
      <c r="G56" s="9">
        <f>G55+E56-F56</f>
        <v/>
      </c>
      <c r="H56" s="2" t="inlineStr">
        <is>
          <t>COSTO_FIJO</t>
        </is>
      </c>
    </row>
    <row r="57">
      <c r="A57" s="6" t="inlineStr">
        <is>
          <t>2026-03-21</t>
        </is>
      </c>
      <c r="B57" s="2" t="inlineStr">
        <is>
          <t>ingreso</t>
        </is>
      </c>
      <c r="C57" s="2" t="inlineStr">
        <is>
          <t>Cobro Venta ACC-002</t>
        </is>
      </c>
      <c r="D57" s="2" t="inlineStr">
        <is>
          <t>transferencia</t>
        </is>
      </c>
      <c r="E57" s="3" t="n">
        <v>19000</v>
      </c>
      <c r="F57" s="3" t="n">
        <v>0</v>
      </c>
      <c r="G57" s="9">
        <f>G56+E57-F57</f>
        <v/>
      </c>
      <c r="H57" s="2" t="inlineStr">
        <is>
          <t>VENTA_DIRECTA</t>
        </is>
      </c>
    </row>
    <row r="58">
      <c r="A58" s="6" t="inlineStr">
        <is>
          <t>2026-03-21</t>
        </is>
      </c>
      <c r="B58" s="2" t="inlineStr">
        <is>
          <t>ingreso</t>
        </is>
      </c>
      <c r="C58" s="2" t="inlineStr">
        <is>
          <t>Cobro Venta MED-001</t>
        </is>
      </c>
      <c r="D58" s="2" t="inlineStr">
        <is>
          <t>transferencia</t>
        </is>
      </c>
      <c r="E58" s="3" t="n">
        <v>10260</v>
      </c>
      <c r="F58" s="3" t="n">
        <v>0</v>
      </c>
      <c r="G58" s="9">
        <f>G57+E58-F58</f>
        <v/>
      </c>
      <c r="H58" s="2" t="inlineStr">
        <is>
          <t>VENTA_DIRECTA</t>
        </is>
      </c>
    </row>
    <row r="59">
      <c r="A59" s="6" t="inlineStr">
        <is>
          <t>2026-03-21</t>
        </is>
      </c>
      <c r="B59" s="2" t="inlineStr">
        <is>
          <t>ingreso</t>
        </is>
      </c>
      <c r="C59" s="2" t="inlineStr">
        <is>
          <t>Cobro Venta ACC-003</t>
        </is>
      </c>
      <c r="D59" s="2" t="inlineStr">
        <is>
          <t>transferencia</t>
        </is>
      </c>
      <c r="E59" s="3" t="n">
        <v>49400</v>
      </c>
      <c r="F59" s="3" t="n">
        <v>0</v>
      </c>
      <c r="G59" s="9">
        <f>G58+E59-F59</f>
        <v/>
      </c>
      <c r="H59" s="2" t="inlineStr">
        <is>
          <t>VENTA_DIRECTA</t>
        </is>
      </c>
    </row>
    <row r="60">
      <c r="A60" s="6" t="inlineStr">
        <is>
          <t>2026-03-22</t>
        </is>
      </c>
      <c r="B60" s="2" t="inlineStr">
        <is>
          <t>ingreso</t>
        </is>
      </c>
      <c r="C60" s="2" t="inlineStr">
        <is>
          <t>Cobro Venta CAL-002</t>
        </is>
      </c>
      <c r="D60" s="2" t="inlineStr">
        <is>
          <t>mercado_pago</t>
        </is>
      </c>
      <c r="E60" s="3" t="n">
        <v>37000</v>
      </c>
      <c r="F60" s="3" t="n">
        <v>0</v>
      </c>
      <c r="G60" s="9">
        <f>G59+E60-F60</f>
        <v/>
      </c>
      <c r="H60" s="2" t="inlineStr">
        <is>
          <t>VENTA_DIRECTA</t>
        </is>
      </c>
    </row>
    <row r="61">
      <c r="A61" s="6" t="inlineStr">
        <is>
          <t>2026-03-22</t>
        </is>
      </c>
      <c r="B61" s="2" t="inlineStr">
        <is>
          <t>ingreso</t>
        </is>
      </c>
      <c r="C61" s="2" t="inlineStr">
        <is>
          <t>Cobro Venta PAN-003</t>
        </is>
      </c>
      <c r="D61" s="2" t="inlineStr">
        <is>
          <t>mercado_pago</t>
        </is>
      </c>
      <c r="E61" s="3" t="n">
        <v>82000</v>
      </c>
      <c r="F61" s="3" t="n">
        <v>0</v>
      </c>
      <c r="G61" s="9">
        <f>G60+E61-F61</f>
        <v/>
      </c>
      <c r="H61" s="2" t="inlineStr">
        <is>
          <t>VENTA_DIRECTA</t>
        </is>
      </c>
    </row>
    <row r="62">
      <c r="A62" s="6" t="inlineStr">
        <is>
          <t>2026-03-22</t>
        </is>
      </c>
      <c r="B62" s="2" t="inlineStr">
        <is>
          <t>egreso</t>
        </is>
      </c>
      <c r="C62" s="2" t="inlineStr">
        <is>
          <t>Pago CF: Mantenimiento de Máquinas</t>
        </is>
      </c>
      <c r="D62" s="2" t="inlineStr">
        <is>
          <t>transferencia</t>
        </is>
      </c>
      <c r="E62" s="3" t="n">
        <v>0</v>
      </c>
      <c r="F62" s="3" t="n">
        <v>45000</v>
      </c>
      <c r="G62" s="9">
        <f>G61+E62-F62</f>
        <v/>
      </c>
      <c r="H62" s="2" t="inlineStr">
        <is>
          <t>COSTO_FIJO</t>
        </is>
      </c>
    </row>
    <row r="63">
      <c r="A63" s="6" t="inlineStr">
        <is>
          <t>2026-03-23</t>
        </is>
      </c>
      <c r="B63" s="2" t="inlineStr">
        <is>
          <t>ingreso</t>
        </is>
      </c>
      <c r="C63" s="2" t="inlineStr">
        <is>
          <t>Cobro Venta ACC-002</t>
        </is>
      </c>
      <c r="D63" s="2" t="inlineStr">
        <is>
          <t>transferencia</t>
        </is>
      </c>
      <c r="E63" s="3" t="n">
        <v>19000</v>
      </c>
      <c r="F63" s="3" t="n">
        <v>0</v>
      </c>
      <c r="G63" s="9">
        <f>G62+E63-F63</f>
        <v/>
      </c>
      <c r="H63" s="2" t="inlineStr">
        <is>
          <t>VENTA_DIRECTA</t>
        </is>
      </c>
    </row>
    <row r="64">
      <c r="A64" s="6" t="inlineStr">
        <is>
          <t>2026-03-23</t>
        </is>
      </c>
      <c r="B64" s="2" t="inlineStr">
        <is>
          <t>ingreso</t>
        </is>
      </c>
      <c r="C64" s="2" t="inlineStr">
        <is>
          <t>Cobro Venta BUZ-001</t>
        </is>
      </c>
      <c r="D64" s="2" t="inlineStr">
        <is>
          <t>mercado_pago</t>
        </is>
      </c>
      <c r="E64" s="3" t="n">
        <v>136000</v>
      </c>
      <c r="F64" s="3" t="n">
        <v>0</v>
      </c>
      <c r="G64" s="9">
        <f>G63+E64-F64</f>
        <v/>
      </c>
      <c r="H64" s="2" t="inlineStr">
        <is>
          <t>VENTA_DIRECTA</t>
        </is>
      </c>
    </row>
    <row r="65">
      <c r="A65" s="6" t="inlineStr">
        <is>
          <t>2026-03-24</t>
        </is>
      </c>
      <c r="B65" s="2" t="inlineStr">
        <is>
          <t>egreso</t>
        </is>
      </c>
      <c r="C65" s="2" t="inlineStr">
        <is>
          <t>Pago CF: Impuestos Provinciales / Tasas</t>
        </is>
      </c>
      <c r="D65" s="2" t="inlineStr">
        <is>
          <t>transferencia</t>
        </is>
      </c>
      <c r="E65" s="3" t="n">
        <v>0</v>
      </c>
      <c r="F65" s="3" t="n">
        <v>60000</v>
      </c>
      <c r="G65" s="9">
        <f>G64+E65-F65</f>
        <v/>
      </c>
      <c r="H65" s="2" t="inlineStr">
        <is>
          <t>COSTO_FIJO</t>
        </is>
      </c>
    </row>
    <row r="66">
      <c r="A66" s="6" t="inlineStr">
        <is>
          <t>2026-03-26</t>
        </is>
      </c>
      <c r="B66" s="2" t="inlineStr">
        <is>
          <t>ingreso</t>
        </is>
      </c>
      <c r="C66" s="2" t="inlineStr">
        <is>
          <t>Cobro Venta BUZ-002</t>
        </is>
      </c>
      <c r="D66" s="2" t="inlineStr">
        <is>
          <t>efectivo</t>
        </is>
      </c>
      <c r="E66" s="3" t="n">
        <v>32300</v>
      </c>
      <c r="F66" s="3" t="n">
        <v>0</v>
      </c>
      <c r="G66" s="9">
        <f>G65+E66-F66</f>
        <v/>
      </c>
      <c r="H66" s="2" t="inlineStr">
        <is>
          <t>VENTA_DIRECTA</t>
        </is>
      </c>
    </row>
    <row r="67">
      <c r="A67" s="6" t="inlineStr">
        <is>
          <t>2026-03-26</t>
        </is>
      </c>
      <c r="B67" s="2" t="inlineStr">
        <is>
          <t>ingreso</t>
        </is>
      </c>
      <c r="C67" s="2" t="inlineStr">
        <is>
          <t>Cobro Venta MED-001</t>
        </is>
      </c>
      <c r="D67" s="2" t="inlineStr">
        <is>
          <t>mercado_pago</t>
        </is>
      </c>
      <c r="E67" s="3" t="n">
        <v>10260</v>
      </c>
      <c r="F67" s="3" t="n">
        <v>0</v>
      </c>
      <c r="G67" s="9">
        <f>G66+E67-F67</f>
        <v/>
      </c>
      <c r="H67" s="2" t="inlineStr">
        <is>
          <t>VENTA_DIRECTA</t>
        </is>
      </c>
    </row>
    <row r="68">
      <c r="A68" s="6" t="inlineStr">
        <is>
          <t>2026-03-30</t>
        </is>
      </c>
      <c r="B68" s="2" t="inlineStr">
        <is>
          <t>ingreso</t>
        </is>
      </c>
      <c r="C68" s="2" t="inlineStr">
        <is>
          <t>Cobro Venta REM-001</t>
        </is>
      </c>
      <c r="D68" s="2" t="inlineStr">
        <is>
          <t>mercado_pago</t>
        </is>
      </c>
      <c r="E68" s="3" t="n">
        <v>37500</v>
      </c>
      <c r="F68" s="3" t="n">
        <v>0</v>
      </c>
      <c r="G68" s="9">
        <f>G67+E68-F68</f>
        <v/>
      </c>
      <c r="H68" s="2" t="inlineStr">
        <is>
          <t>VENTA_DIRECTA</t>
        </is>
      </c>
    </row>
    <row r="69">
      <c r="A69" s="6" t="inlineStr">
        <is>
          <t>2026-04-04</t>
        </is>
      </c>
      <c r="B69" s="2" t="inlineStr">
        <is>
          <t>ingreso</t>
        </is>
      </c>
      <c r="C69" s="2" t="inlineStr">
        <is>
          <t>Cobro Diferido Venta REM-001</t>
        </is>
      </c>
      <c r="D69" s="2" t="inlineStr">
        <is>
          <t>cuenta_corriente</t>
        </is>
      </c>
      <c r="E69" s="3" t="n">
        <v>155800</v>
      </c>
      <c r="F69" s="3" t="n">
        <v>0</v>
      </c>
      <c r="G69" s="9">
        <f>G68+E69-F69</f>
        <v/>
      </c>
      <c r="H69" s="2" t="inlineStr">
        <is>
          <t>COBRO_DIFERIDO</t>
        </is>
      </c>
    </row>
    <row r="70">
      <c r="A70" s="6" t="inlineStr">
        <is>
          <t>2026-04-05</t>
        </is>
      </c>
      <c r="B70" s="2" t="inlineStr">
        <is>
          <t>egreso</t>
        </is>
      </c>
      <c r="C70" s="2" t="inlineStr">
        <is>
          <t>Pago CF: Alquiler Showroom y Depósito</t>
        </is>
      </c>
      <c r="D70" s="2" t="inlineStr">
        <is>
          <t>transferencia</t>
        </is>
      </c>
      <c r="E70" s="3" t="n">
        <v>0</v>
      </c>
      <c r="F70" s="3" t="n">
        <v>562500</v>
      </c>
      <c r="G70" s="9">
        <f>G69+E70-F70</f>
        <v/>
      </c>
      <c r="H70" s="2" t="inlineStr">
        <is>
          <t>COSTO_FIJO</t>
        </is>
      </c>
    </row>
    <row r="71">
      <c r="A71" s="6" t="inlineStr">
        <is>
          <t>2026-04-05</t>
        </is>
      </c>
      <c r="B71" s="2" t="inlineStr">
        <is>
          <t>egreso</t>
        </is>
      </c>
      <c r="C71" s="2" t="inlineStr">
        <is>
          <t>Pago CF: Sueldos Personal Confección/Ventas</t>
        </is>
      </c>
      <c r="D71" s="2" t="inlineStr">
        <is>
          <t>transferencia</t>
        </is>
      </c>
      <c r="E71" s="3" t="n">
        <v>0</v>
      </c>
      <c r="F71" s="3" t="n">
        <v>1440000</v>
      </c>
      <c r="G71" s="9">
        <f>G70+E71-F71</f>
        <v/>
      </c>
      <c r="H71" s="2" t="inlineStr">
        <is>
          <t>COSTO_FIJO</t>
        </is>
      </c>
    </row>
    <row r="72">
      <c r="A72" s="6" t="inlineStr">
        <is>
          <t>2026-04-10</t>
        </is>
      </c>
      <c r="B72" s="2" t="inlineStr">
        <is>
          <t>egreso</t>
        </is>
      </c>
      <c r="C72" s="2" t="inlineStr">
        <is>
          <t>Pago CF: Servicios (Luz, Internet, Gas)</t>
        </is>
      </c>
      <c r="D72" s="2" t="inlineStr">
        <is>
          <t>transferencia</t>
        </is>
      </c>
      <c r="E72" s="3" t="n">
        <v>0</v>
      </c>
      <c r="F72" s="3" t="n">
        <v>142500</v>
      </c>
      <c r="G72" s="9">
        <f>G71+E72-F72</f>
        <v/>
      </c>
      <c r="H72" s="2" t="inlineStr">
        <is>
          <t>COSTO_FIJO</t>
        </is>
      </c>
    </row>
    <row r="73">
      <c r="A73" s="6" t="inlineStr">
        <is>
          <t>2026-04-10</t>
        </is>
      </c>
      <c r="B73" s="2" t="inlineStr">
        <is>
          <t>egreso</t>
        </is>
      </c>
      <c r="C73" s="2" t="inlineStr">
        <is>
          <t>Pago CF: Honorarios Contador</t>
        </is>
      </c>
      <c r="D73" s="2" t="inlineStr">
        <is>
          <t>transferencia</t>
        </is>
      </c>
      <c r="E73" s="3" t="n">
        <v>0</v>
      </c>
      <c r="F73" s="3" t="n">
        <v>80000</v>
      </c>
      <c r="G73" s="9">
        <f>G72+E73-F73</f>
        <v/>
      </c>
      <c r="H73" s="2" t="inlineStr">
        <is>
          <t>COSTO_FIJO</t>
        </is>
      </c>
    </row>
    <row r="74">
      <c r="A74" s="6" t="inlineStr">
        <is>
          <t>2026-04-10</t>
        </is>
      </c>
      <c r="B74" s="2" t="inlineStr">
        <is>
          <t>egreso</t>
        </is>
      </c>
      <c r="C74" s="2" t="inlineStr">
        <is>
          <t>Pago CF: Software de Gestión y Tienda Cloud</t>
        </is>
      </c>
      <c r="D74" s="2" t="inlineStr">
        <is>
          <t>transferencia</t>
        </is>
      </c>
      <c r="E74" s="3" t="n">
        <v>0</v>
      </c>
      <c r="F74" s="3" t="n">
        <v>35000</v>
      </c>
      <c r="G74" s="9">
        <f>G73+E74-F74</f>
        <v/>
      </c>
      <c r="H74" s="2" t="inlineStr">
        <is>
          <t>COSTO_FIJO</t>
        </is>
      </c>
    </row>
    <row r="75">
      <c r="A75" s="6" t="inlineStr">
        <is>
          <t>2026-04-11</t>
        </is>
      </c>
      <c r="B75" s="2" t="inlineStr">
        <is>
          <t>ingreso</t>
        </is>
      </c>
      <c r="C75" s="2" t="inlineStr">
        <is>
          <t>Cobro Diferido Venta PAN-002</t>
        </is>
      </c>
      <c r="D75" s="2" t="inlineStr">
        <is>
          <t>cuenta_corriente</t>
        </is>
      </c>
      <c r="E75" s="3" t="n">
        <v>280000</v>
      </c>
      <c r="F75" s="3" t="n">
        <v>0</v>
      </c>
      <c r="G75" s="9">
        <f>G74+E75-F75</f>
        <v/>
      </c>
      <c r="H75" s="2" t="inlineStr">
        <is>
          <t>COBRO_DIFERIDO</t>
        </is>
      </c>
    </row>
    <row r="76">
      <c r="A76" s="6" t="inlineStr">
        <is>
          <t>2026-04-14</t>
        </is>
      </c>
      <c r="B76" s="2" t="inlineStr">
        <is>
          <t>ingreso</t>
        </is>
      </c>
      <c r="C76" s="2" t="inlineStr">
        <is>
          <t>Cobro Diferido Venta MED-001</t>
        </is>
      </c>
      <c r="D76" s="2" t="inlineStr">
        <is>
          <t>cuenta_corriente</t>
        </is>
      </c>
      <c r="E76" s="3" t="n">
        <v>61200</v>
      </c>
      <c r="F76" s="3" t="n">
        <v>0</v>
      </c>
      <c r="G76" s="9">
        <f>G75+E76-F76</f>
        <v/>
      </c>
      <c r="H76" s="2" t="inlineStr">
        <is>
          <t>COBRO_DIFERIDO</t>
        </is>
      </c>
    </row>
    <row r="77">
      <c r="A77" s="6" t="inlineStr">
        <is>
          <t>2026-04-14</t>
        </is>
      </c>
      <c r="B77" s="2" t="inlineStr">
        <is>
          <t>ingreso</t>
        </is>
      </c>
      <c r="C77" s="2" t="inlineStr">
        <is>
          <t>Cobro Diferido Venta REM-003</t>
        </is>
      </c>
      <c r="D77" s="2" t="inlineStr">
        <is>
          <t>cuenta_corriente</t>
        </is>
      </c>
      <c r="E77" s="3" t="n">
        <v>178200</v>
      </c>
      <c r="F77" s="3" t="n">
        <v>0</v>
      </c>
      <c r="G77" s="9">
        <f>G76+E77-F77</f>
        <v/>
      </c>
      <c r="H77" s="2" t="inlineStr">
        <is>
          <t>COBRO_DIFERIDO</t>
        </is>
      </c>
    </row>
    <row r="78">
      <c r="A78" s="6" t="inlineStr">
        <is>
          <t>2026-04-15</t>
        </is>
      </c>
      <c r="B78" s="2" t="inlineStr">
        <is>
          <t>ingreso</t>
        </is>
      </c>
      <c r="C78" s="2" t="inlineStr">
        <is>
          <t>Cobro Diferido Venta REM-004</t>
        </is>
      </c>
      <c r="D78" s="2" t="inlineStr">
        <is>
          <t>tarjeta_credito</t>
        </is>
      </c>
      <c r="E78" s="3" t="n">
        <v>15130</v>
      </c>
      <c r="F78" s="3" t="n">
        <v>0</v>
      </c>
      <c r="G78" s="9">
        <f>G77+E78-F78</f>
        <v/>
      </c>
      <c r="H78" s="2" t="inlineStr">
        <is>
          <t>COBRO_DIFERIDO</t>
        </is>
      </c>
    </row>
    <row r="79">
      <c r="A79" s="6" t="inlineStr">
        <is>
          <t>2026-04-15</t>
        </is>
      </c>
      <c r="B79" s="2" t="inlineStr">
        <is>
          <t>ingreso</t>
        </is>
      </c>
      <c r="C79" s="2" t="inlineStr">
        <is>
          <t>Cobro Diferido Venta REM-003</t>
        </is>
      </c>
      <c r="D79" s="2" t="inlineStr">
        <is>
          <t>tarjeta_credito</t>
        </is>
      </c>
      <c r="E79" s="3" t="n">
        <v>13175</v>
      </c>
      <c r="F79" s="3" t="n">
        <v>0</v>
      </c>
      <c r="G79" s="9">
        <f>G78+E79-F79</f>
        <v/>
      </c>
      <c r="H79" s="2" t="inlineStr">
        <is>
          <t>COBRO_DIFERIDO</t>
        </is>
      </c>
    </row>
    <row r="80">
      <c r="A80" s="6" t="inlineStr">
        <is>
          <t>2026-04-15</t>
        </is>
      </c>
      <c r="B80" s="2" t="inlineStr">
        <is>
          <t>egreso</t>
        </is>
      </c>
      <c r="C80" s="2" t="inlineStr">
        <is>
          <t>Pago CF: Cargas Sociales F.931</t>
        </is>
      </c>
      <c r="D80" s="2" t="inlineStr">
        <is>
          <t>transferencia</t>
        </is>
      </c>
      <c r="E80" s="3" t="n">
        <v>0</v>
      </c>
      <c r="F80" s="3" t="n">
        <v>420000</v>
      </c>
      <c r="G80" s="9">
        <f>G79+E80-F80</f>
        <v/>
      </c>
      <c r="H80" s="2" t="inlineStr">
        <is>
          <t>COSTO_FIJO</t>
        </is>
      </c>
    </row>
    <row r="81">
      <c r="A81" s="6" t="inlineStr">
        <is>
          <t>2026-04-16</t>
        </is>
      </c>
      <c r="B81" s="2" t="inlineStr">
        <is>
          <t>ingreso</t>
        </is>
      </c>
      <c r="C81" s="2" t="inlineStr">
        <is>
          <t>Cobro Diferido Venta REM-002</t>
        </is>
      </c>
      <c r="D81" s="2" t="inlineStr">
        <is>
          <t>tarjeta_credito</t>
        </is>
      </c>
      <c r="E81" s="3" t="n">
        <v>31875</v>
      </c>
      <c r="F81" s="3" t="n">
        <v>0</v>
      </c>
      <c r="G81" s="9">
        <f>G80+E81-F81</f>
        <v/>
      </c>
      <c r="H81" s="2" t="inlineStr">
        <is>
          <t>COBRO_DIFERIDO</t>
        </is>
      </c>
    </row>
    <row r="82">
      <c r="A82" s="6" t="inlineStr">
        <is>
          <t>2026-04-16</t>
        </is>
      </c>
      <c r="B82" s="2" t="inlineStr">
        <is>
          <t>ingreso</t>
        </is>
      </c>
      <c r="C82" s="2" t="inlineStr">
        <is>
          <t>Cobro Diferido Venta CAL-002</t>
        </is>
      </c>
      <c r="D82" s="2" t="inlineStr">
        <is>
          <t>tarjeta_credito</t>
        </is>
      </c>
      <c r="E82" s="3" t="n">
        <v>15725</v>
      </c>
      <c r="F82" s="3" t="n">
        <v>0</v>
      </c>
      <c r="G82" s="9">
        <f>G81+E82-F82</f>
        <v/>
      </c>
      <c r="H82" s="2" t="inlineStr">
        <is>
          <t>COBRO_DIFERIDO</t>
        </is>
      </c>
    </row>
    <row r="83">
      <c r="A83" s="6" t="inlineStr">
        <is>
          <t>2026-04-17</t>
        </is>
      </c>
      <c r="B83" s="2" t="inlineStr">
        <is>
          <t>ingreso</t>
        </is>
      </c>
      <c r="C83" s="2" t="inlineStr">
        <is>
          <t>Cobro Diferido Venta PAN-001</t>
        </is>
      </c>
      <c r="D83" s="2" t="inlineStr">
        <is>
          <t>tarjeta_credito</t>
        </is>
      </c>
      <c r="E83" s="3" t="n">
        <v>37400</v>
      </c>
      <c r="F83" s="3" t="n">
        <v>0</v>
      </c>
      <c r="G83" s="9">
        <f>G82+E83-F83</f>
        <v/>
      </c>
      <c r="H83" s="2" t="inlineStr">
        <is>
          <t>COBRO_DIFERIDO</t>
        </is>
      </c>
    </row>
    <row r="84">
      <c r="A84" s="6" t="inlineStr">
        <is>
          <t>2026-04-17</t>
        </is>
      </c>
      <c r="B84" s="2" t="inlineStr">
        <is>
          <t>ingreso</t>
        </is>
      </c>
      <c r="C84" s="2" t="inlineStr">
        <is>
          <t>Cobro Diferido Venta BUZ-001</t>
        </is>
      </c>
      <c r="D84" s="2" t="inlineStr">
        <is>
          <t>tarjeta_credito</t>
        </is>
      </c>
      <c r="E84" s="3" t="n">
        <v>86700</v>
      </c>
      <c r="F84" s="3" t="n">
        <v>0</v>
      </c>
      <c r="G84" s="9">
        <f>G83+E84-F84</f>
        <v/>
      </c>
      <c r="H84" s="2" t="inlineStr">
        <is>
          <t>COBRO_DIFERIDO</t>
        </is>
      </c>
    </row>
    <row r="85">
      <c r="A85" s="6" t="inlineStr">
        <is>
          <t>2026-04-18</t>
        </is>
      </c>
      <c r="B85" s="2" t="inlineStr">
        <is>
          <t>ingreso</t>
        </is>
      </c>
      <c r="C85" s="2" t="inlineStr">
        <is>
          <t>Cobro Diferido Venta REM-004</t>
        </is>
      </c>
      <c r="D85" s="2" t="inlineStr">
        <is>
          <t>tarjeta_credito</t>
        </is>
      </c>
      <c r="E85" s="3" t="n">
        <v>45390</v>
      </c>
      <c r="F85" s="3" t="n">
        <v>0</v>
      </c>
      <c r="G85" s="9">
        <f>G84+E85-F85</f>
        <v/>
      </c>
      <c r="H85" s="2" t="inlineStr">
        <is>
          <t>COBRO_DIFERIDO</t>
        </is>
      </c>
    </row>
    <row r="86">
      <c r="A86" s="6" t="inlineStr">
        <is>
          <t>2026-04-18</t>
        </is>
      </c>
      <c r="B86" s="2" t="inlineStr">
        <is>
          <t>ingreso</t>
        </is>
      </c>
      <c r="C86" s="2" t="inlineStr">
        <is>
          <t>Cobro Diferido Venta CAM-001</t>
        </is>
      </c>
      <c r="D86" s="2" t="inlineStr">
        <is>
          <t>tarjeta_credito</t>
        </is>
      </c>
      <c r="E86" s="3" t="n">
        <v>117300</v>
      </c>
      <c r="F86" s="3" t="n">
        <v>0</v>
      </c>
      <c r="G86" s="9">
        <f>G85+E86-F86</f>
        <v/>
      </c>
      <c r="H86" s="2" t="inlineStr">
        <is>
          <t>COBRO_DIFERIDO</t>
        </is>
      </c>
    </row>
    <row r="87">
      <c r="A87" s="6" t="inlineStr">
        <is>
          <t>2026-04-18</t>
        </is>
      </c>
      <c r="B87" s="2" t="inlineStr">
        <is>
          <t>egreso</t>
        </is>
      </c>
      <c r="C87" s="2" t="inlineStr">
        <is>
          <t>Pago CF: Marketing y Pauta Digital (Meta/Google)</t>
        </is>
      </c>
      <c r="D87" s="2" t="inlineStr">
        <is>
          <t>transferencia</t>
        </is>
      </c>
      <c r="E87" s="3" t="n">
        <v>0</v>
      </c>
      <c r="F87" s="3" t="n">
        <v>220000</v>
      </c>
      <c r="G87" s="9">
        <f>G86+E87-F87</f>
        <v/>
      </c>
      <c r="H87" s="2" t="inlineStr">
        <is>
          <t>COSTO_FIJO</t>
        </is>
      </c>
    </row>
    <row r="88">
      <c r="A88" s="6" t="inlineStr">
        <is>
          <t>2026-04-19</t>
        </is>
      </c>
      <c r="B88" s="2" t="inlineStr">
        <is>
          <t>ingreso</t>
        </is>
      </c>
      <c r="C88" s="2" t="inlineStr">
        <is>
          <t>Cobro Diferido Venta ACC-001</t>
        </is>
      </c>
      <c r="D88" s="2" t="inlineStr">
        <is>
          <t>tarjeta_credito</t>
        </is>
      </c>
      <c r="E88" s="3" t="n">
        <v>9350</v>
      </c>
      <c r="F88" s="3" t="n">
        <v>0</v>
      </c>
      <c r="G88" s="9">
        <f>G87+E88-F88</f>
        <v/>
      </c>
      <c r="H88" s="2" t="inlineStr">
        <is>
          <t>COBRO_DIFERIDO</t>
        </is>
      </c>
    </row>
    <row r="89">
      <c r="A89" s="6" t="inlineStr">
        <is>
          <t>2026-04-19</t>
        </is>
      </c>
      <c r="B89" s="2" t="inlineStr">
        <is>
          <t>ingreso</t>
        </is>
      </c>
      <c r="C89" s="2" t="inlineStr">
        <is>
          <t>Cobro Diferido Venta REM-004</t>
        </is>
      </c>
      <c r="D89" s="2" t="inlineStr">
        <is>
          <t>tarjeta_credito</t>
        </is>
      </c>
      <c r="E89" s="3" t="n">
        <v>30260</v>
      </c>
      <c r="F89" s="3" t="n">
        <v>0</v>
      </c>
      <c r="G89" s="9">
        <f>G88+E89-F89</f>
        <v/>
      </c>
      <c r="H89" s="2" t="inlineStr">
        <is>
          <t>COBRO_DIFERIDO</t>
        </is>
      </c>
    </row>
    <row r="90">
      <c r="A90" s="6" t="inlineStr">
        <is>
          <t>2026-04-20</t>
        </is>
      </c>
      <c r="B90" s="2" t="inlineStr">
        <is>
          <t>ingreso</t>
        </is>
      </c>
      <c r="C90" s="2" t="inlineStr">
        <is>
          <t>Cobro Diferido Venta ACC-001</t>
        </is>
      </c>
      <c r="D90" s="2" t="inlineStr">
        <is>
          <t>cuenta_corriente</t>
        </is>
      </c>
      <c r="E90" s="3" t="n">
        <v>131100</v>
      </c>
      <c r="F90" s="3" t="n">
        <v>0</v>
      </c>
      <c r="G90" s="9">
        <f>G89+E90-F90</f>
        <v/>
      </c>
      <c r="H90" s="2" t="inlineStr">
        <is>
          <t>COBRO_DIFERIDO</t>
        </is>
      </c>
    </row>
    <row r="91">
      <c r="A91" s="6" t="inlineStr">
        <is>
          <t>2026-04-20</t>
        </is>
      </c>
      <c r="B91" s="2" t="inlineStr">
        <is>
          <t>ingreso</t>
        </is>
      </c>
      <c r="C91" s="2" t="inlineStr">
        <is>
          <t>Cobro Diferido Venta CAL-002</t>
        </is>
      </c>
      <c r="D91" s="2" t="inlineStr">
        <is>
          <t>tarjeta_credito</t>
        </is>
      </c>
      <c r="E91" s="3" t="n">
        <v>47175</v>
      </c>
      <c r="F91" s="3" t="n">
        <v>0</v>
      </c>
      <c r="G91" s="9">
        <f>G90+E91-F91</f>
        <v/>
      </c>
      <c r="H91" s="2" t="inlineStr">
        <is>
          <t>COBRO_DIFERIDO</t>
        </is>
      </c>
    </row>
    <row r="92">
      <c r="A92" s="6" t="inlineStr">
        <is>
          <t>2026-04-20</t>
        </is>
      </c>
      <c r="B92" s="2" t="inlineStr">
        <is>
          <t>ingreso</t>
        </is>
      </c>
      <c r="C92" s="2" t="inlineStr">
        <is>
          <t>Cobro Diferido Venta PAN-002</t>
        </is>
      </c>
      <c r="D92" s="2" t="inlineStr">
        <is>
          <t>tarjeta_credito</t>
        </is>
      </c>
      <c r="E92" s="3" t="n">
        <v>37400</v>
      </c>
      <c r="F92" s="3" t="n">
        <v>0</v>
      </c>
      <c r="G92" s="9">
        <f>G91+E92-F92</f>
        <v/>
      </c>
      <c r="H92" s="2" t="inlineStr">
        <is>
          <t>COBRO_DIFERIDO</t>
        </is>
      </c>
    </row>
    <row r="93">
      <c r="A93" s="6" t="inlineStr">
        <is>
          <t>2026-04-20</t>
        </is>
      </c>
      <c r="B93" s="2" t="inlineStr">
        <is>
          <t>egreso</t>
        </is>
      </c>
      <c r="C93" s="2" t="inlineStr">
        <is>
          <t>Pago CF: Logística y Envíos (Andreani/Fletes)</t>
        </is>
      </c>
      <c r="D93" s="2" t="inlineStr">
        <is>
          <t>transferencia</t>
        </is>
      </c>
      <c r="E93" s="3" t="n">
        <v>0</v>
      </c>
      <c r="F93" s="3" t="n">
        <v>210000</v>
      </c>
      <c r="G93" s="9">
        <f>G92+E93-F93</f>
        <v/>
      </c>
      <c r="H93" s="2" t="inlineStr">
        <is>
          <t>COSTO_FIJO</t>
        </is>
      </c>
    </row>
    <row r="94">
      <c r="A94" s="6" t="inlineStr">
        <is>
          <t>2026-04-21</t>
        </is>
      </c>
      <c r="B94" s="2" t="inlineStr">
        <is>
          <t>ingreso</t>
        </is>
      </c>
      <c r="C94" s="2" t="inlineStr">
        <is>
          <t>Cobro Diferido Venta ACC-003</t>
        </is>
      </c>
      <c r="D94" s="2" t="inlineStr">
        <is>
          <t>tarjeta_credito</t>
        </is>
      </c>
      <c r="E94" s="3" t="n">
        <v>132600</v>
      </c>
      <c r="F94" s="3" t="n">
        <v>0</v>
      </c>
      <c r="G94" s="9">
        <f>G93+E94-F94</f>
        <v/>
      </c>
      <c r="H94" s="2" t="inlineStr">
        <is>
          <t>COBRO_DIFERIDO</t>
        </is>
      </c>
    </row>
    <row r="95">
      <c r="A95" s="6" t="inlineStr">
        <is>
          <t>2026-04-21</t>
        </is>
      </c>
      <c r="B95" s="2" t="inlineStr">
        <is>
          <t>ingreso</t>
        </is>
      </c>
      <c r="C95" s="2" t="inlineStr">
        <is>
          <t>Cobro Diferido Venta CAM-001</t>
        </is>
      </c>
      <c r="D95" s="2" t="inlineStr">
        <is>
          <t>tarjeta_credito</t>
        </is>
      </c>
      <c r="E95" s="3" t="n">
        <v>117300</v>
      </c>
      <c r="F95" s="3" t="n">
        <v>0</v>
      </c>
      <c r="G95" s="9">
        <f>G94+E95-F95</f>
        <v/>
      </c>
      <c r="H95" s="2" t="inlineStr">
        <is>
          <t>COBRO_DIFERIDO</t>
        </is>
      </c>
    </row>
    <row r="96">
      <c r="A96" s="6" t="inlineStr">
        <is>
          <t>2026-04-21</t>
        </is>
      </c>
      <c r="B96" s="2" t="inlineStr">
        <is>
          <t>egreso</t>
        </is>
      </c>
      <c r="C96" s="2" t="inlineStr">
        <is>
          <t>Pago Proveedor SKU CAM-002</t>
        </is>
      </c>
      <c r="D96" s="2" t="inlineStr">
        <is>
          <t>transferencia</t>
        </is>
      </c>
      <c r="E96" s="3" t="n">
        <v>0</v>
      </c>
      <c r="F96" s="3" t="n">
        <v>1360000</v>
      </c>
      <c r="G96" s="9">
        <f>G95+E96-F96</f>
        <v/>
      </c>
      <c r="H96" s="2" t="inlineStr">
        <is>
          <t>PAGO_PROV</t>
        </is>
      </c>
    </row>
    <row r="97">
      <c r="A97" s="6" t="inlineStr">
        <is>
          <t>2026-04-22</t>
        </is>
      </c>
      <c r="B97" s="2" t="inlineStr">
        <is>
          <t>ingreso</t>
        </is>
      </c>
      <c r="C97" s="2" t="inlineStr">
        <is>
          <t>Cobro Diferido Venta BUZ-003</t>
        </is>
      </c>
      <c r="D97" s="2" t="inlineStr">
        <is>
          <t>cuenta_corriente</t>
        </is>
      </c>
      <c r="E97" s="3" t="n">
        <v>403750</v>
      </c>
      <c r="F97" s="3" t="n">
        <v>0</v>
      </c>
      <c r="G97" s="9">
        <f>G96+E97-F97</f>
        <v/>
      </c>
      <c r="H97" s="2" t="inlineStr">
        <is>
          <t>COBRO_DIFERIDO</t>
        </is>
      </c>
    </row>
    <row r="98">
      <c r="A98" s="6" t="inlineStr">
        <is>
          <t>2026-04-22</t>
        </is>
      </c>
      <c r="B98" s="2" t="inlineStr">
        <is>
          <t>ingreso</t>
        </is>
      </c>
      <c r="C98" s="2" t="inlineStr">
        <is>
          <t>Cobro Diferido Venta TOP-001</t>
        </is>
      </c>
      <c r="D98" s="2" t="inlineStr">
        <is>
          <t>tarjeta_credito</t>
        </is>
      </c>
      <c r="E98" s="3" t="n">
        <v>25330</v>
      </c>
      <c r="F98" s="3" t="n">
        <v>0</v>
      </c>
      <c r="G98" s="9">
        <f>G97+E98-F98</f>
        <v/>
      </c>
      <c r="H98" s="2" t="inlineStr">
        <is>
          <t>COBRO_DIFERIDO</t>
        </is>
      </c>
    </row>
    <row r="99">
      <c r="A99" s="6" t="inlineStr">
        <is>
          <t>2026-04-22</t>
        </is>
      </c>
      <c r="B99" s="2" t="inlineStr">
        <is>
          <t>ingreso</t>
        </is>
      </c>
      <c r="C99" s="2" t="inlineStr">
        <is>
          <t>Cobro Diferido Venta TOP-001</t>
        </is>
      </c>
      <c r="D99" s="2" t="inlineStr">
        <is>
          <t>tarjeta_credito</t>
        </is>
      </c>
      <c r="E99" s="3" t="n">
        <v>25330</v>
      </c>
      <c r="F99" s="3" t="n">
        <v>0</v>
      </c>
      <c r="G99" s="9">
        <f>G98+E99-F99</f>
        <v/>
      </c>
      <c r="H99" s="2" t="inlineStr">
        <is>
          <t>COBRO_DIFERIDO</t>
        </is>
      </c>
    </row>
    <row r="100">
      <c r="A100" s="6" t="inlineStr">
        <is>
          <t>2026-04-22</t>
        </is>
      </c>
      <c r="B100" s="2" t="inlineStr">
        <is>
          <t>egreso</t>
        </is>
      </c>
      <c r="C100" s="2" t="inlineStr">
        <is>
          <t>Pago CF: Mantenimiento de Máquinas</t>
        </is>
      </c>
      <c r="D100" s="2" t="inlineStr">
        <is>
          <t>transferencia</t>
        </is>
      </c>
      <c r="E100" s="3" t="n">
        <v>0</v>
      </c>
      <c r="F100" s="3" t="n">
        <v>45000</v>
      </c>
      <c r="G100" s="9">
        <f>G99+E100-F100</f>
        <v/>
      </c>
      <c r="H100" s="2" t="inlineStr">
        <is>
          <t>COSTO_FIJO</t>
        </is>
      </c>
    </row>
    <row r="101">
      <c r="A101" s="6" t="inlineStr">
        <is>
          <t>2026-04-23</t>
        </is>
      </c>
      <c r="B101" s="2" t="inlineStr">
        <is>
          <t>ingreso</t>
        </is>
      </c>
      <c r="C101" s="2" t="inlineStr">
        <is>
          <t>Cobro Diferido Venta ACC-003</t>
        </is>
      </c>
      <c r="D101" s="2" t="inlineStr">
        <is>
          <t>tarjeta_credito</t>
        </is>
      </c>
      <c r="E101" s="3" t="n">
        <v>132600</v>
      </c>
      <c r="F101" s="3" t="n">
        <v>0</v>
      </c>
      <c r="G101" s="9">
        <f>G100+E101-F101</f>
        <v/>
      </c>
      <c r="H101" s="2" t="inlineStr">
        <is>
          <t>COBRO_DIFERIDO</t>
        </is>
      </c>
    </row>
    <row r="102">
      <c r="A102" s="6" t="inlineStr">
        <is>
          <t>2026-04-23</t>
        </is>
      </c>
      <c r="B102" s="2" t="inlineStr">
        <is>
          <t>ingreso</t>
        </is>
      </c>
      <c r="C102" s="2" t="inlineStr">
        <is>
          <t>Cobro Diferido Venta CAM-002</t>
        </is>
      </c>
      <c r="D102" s="2" t="inlineStr">
        <is>
          <t>tarjeta_credito</t>
        </is>
      </c>
      <c r="E102" s="3" t="n">
        <v>66000</v>
      </c>
      <c r="F102" s="3" t="n">
        <v>0</v>
      </c>
      <c r="G102" s="9">
        <f>G101+E102-F102</f>
        <v/>
      </c>
      <c r="H102" s="2" t="inlineStr">
        <is>
          <t>COBRO_DIFERIDO</t>
        </is>
      </c>
    </row>
    <row r="103">
      <c r="A103" s="6" t="inlineStr">
        <is>
          <t>2026-04-24</t>
        </is>
      </c>
      <c r="B103" s="2" t="inlineStr">
        <is>
          <t>ingreso</t>
        </is>
      </c>
      <c r="C103" s="2" t="inlineStr">
        <is>
          <t>Cobro Diferido Venta BUZ-002</t>
        </is>
      </c>
      <c r="D103" s="2" t="inlineStr">
        <is>
          <t>tarjeta_credito</t>
        </is>
      </c>
      <c r="E103" s="3" t="n">
        <v>86700</v>
      </c>
      <c r="F103" s="3" t="n">
        <v>0</v>
      </c>
      <c r="G103" s="9">
        <f>G102+E103-F103</f>
        <v/>
      </c>
      <c r="H103" s="2" t="inlineStr">
        <is>
          <t>COBRO_DIFERIDO</t>
        </is>
      </c>
    </row>
    <row r="104">
      <c r="A104" s="6" t="inlineStr">
        <is>
          <t>2026-04-24</t>
        </is>
      </c>
      <c r="B104" s="2" t="inlineStr">
        <is>
          <t>ingreso</t>
        </is>
      </c>
      <c r="C104" s="2" t="inlineStr">
        <is>
          <t>Cobro Diferido Venta TOP-001</t>
        </is>
      </c>
      <c r="D104" s="2" t="inlineStr">
        <is>
          <t>tarjeta_credito</t>
        </is>
      </c>
      <c r="E104" s="3" t="n">
        <v>37995</v>
      </c>
      <c r="F104" s="3" t="n">
        <v>0</v>
      </c>
      <c r="G104" s="9">
        <f>G103+E104-F104</f>
        <v/>
      </c>
      <c r="H104" s="2" t="inlineStr">
        <is>
          <t>COBRO_DIFERIDO</t>
        </is>
      </c>
    </row>
    <row r="105">
      <c r="A105" s="6" t="inlineStr">
        <is>
          <t>2026-04-24</t>
        </is>
      </c>
      <c r="B105" s="2" t="inlineStr">
        <is>
          <t>egreso</t>
        </is>
      </c>
      <c r="C105" s="2" t="inlineStr">
        <is>
          <t>Pago CF: Impuestos Provinciales / Tasas</t>
        </is>
      </c>
      <c r="D105" s="2" t="inlineStr">
        <is>
          <t>transferencia</t>
        </is>
      </c>
      <c r="E105" s="3" t="n">
        <v>0</v>
      </c>
      <c r="F105" s="3" t="n">
        <v>60000</v>
      </c>
      <c r="G105" s="9">
        <f>G104+E105-F105</f>
        <v/>
      </c>
      <c r="H105" s="2" t="inlineStr">
        <is>
          <t>COSTO_FIJO</t>
        </is>
      </c>
    </row>
    <row r="106">
      <c r="A106" s="6" t="inlineStr">
        <is>
          <t>2026-04-25</t>
        </is>
      </c>
      <c r="B106" s="2" t="inlineStr">
        <is>
          <t>ingreso</t>
        </is>
      </c>
      <c r="C106" s="2" t="inlineStr">
        <is>
          <t>Cobro Diferido Venta PAN-001</t>
        </is>
      </c>
      <c r="D106" s="2" t="inlineStr">
        <is>
          <t>tarjeta_credito</t>
        </is>
      </c>
      <c r="E106" s="3" t="n">
        <v>37400</v>
      </c>
      <c r="F106" s="3" t="n">
        <v>0</v>
      </c>
      <c r="G106" s="9">
        <f>G105+E106-F106</f>
        <v/>
      </c>
      <c r="H106" s="2" t="inlineStr">
        <is>
          <t>COBRO_DIFERIDO</t>
        </is>
      </c>
    </row>
    <row r="107">
      <c r="A107" s="6" t="inlineStr">
        <is>
          <t>2026-04-25</t>
        </is>
      </c>
      <c r="B107" s="2" t="inlineStr">
        <is>
          <t>ingreso</t>
        </is>
      </c>
      <c r="C107" s="2" t="inlineStr">
        <is>
          <t>Cobro Diferido Venta CAM-002</t>
        </is>
      </c>
      <c r="D107" s="2" t="inlineStr">
        <is>
          <t>tarjeta_credito</t>
        </is>
      </c>
      <c r="E107" s="3" t="n">
        <v>66000</v>
      </c>
      <c r="F107" s="3" t="n">
        <v>0</v>
      </c>
      <c r="G107" s="9">
        <f>G106+E107-F107</f>
        <v/>
      </c>
      <c r="H107" s="2" t="inlineStr">
        <is>
          <t>COBRO_DIFERIDO</t>
        </is>
      </c>
    </row>
    <row r="108">
      <c r="A108" s="6" t="inlineStr">
        <is>
          <t>2026-04-26</t>
        </is>
      </c>
      <c r="B108" s="2" t="inlineStr">
        <is>
          <t>ingreso</t>
        </is>
      </c>
      <c r="C108" s="2" t="inlineStr">
        <is>
          <t>Cobro Diferido Venta ACC-002</t>
        </is>
      </c>
      <c r="D108" s="2" t="inlineStr">
        <is>
          <t>cuenta_corriente</t>
        </is>
      </c>
      <c r="E108" s="3" t="n">
        <v>88500</v>
      </c>
      <c r="F108" s="3" t="n">
        <v>0</v>
      </c>
      <c r="G108" s="9">
        <f>G107+E108-F108</f>
        <v/>
      </c>
      <c r="H108" s="2" t="inlineStr">
        <is>
          <t>COBRO_DIFERIDO</t>
        </is>
      </c>
    </row>
    <row r="109">
      <c r="A109" s="6" t="inlineStr">
        <is>
          <t>2026-04-26</t>
        </is>
      </c>
      <c r="B109" s="2" t="inlineStr">
        <is>
          <t>ingreso</t>
        </is>
      </c>
      <c r="C109" s="2" t="inlineStr">
        <is>
          <t>Cobro Diferido Venta CAM-003</t>
        </is>
      </c>
      <c r="D109" s="2" t="inlineStr">
        <is>
          <t>tarjeta_credito</t>
        </is>
      </c>
      <c r="E109" s="3" t="n">
        <v>107100</v>
      </c>
      <c r="F109" s="3" t="n">
        <v>0</v>
      </c>
      <c r="G109" s="9">
        <f>G108+E109-F109</f>
        <v/>
      </c>
      <c r="H109" s="2" t="inlineStr">
        <is>
          <t>COBRO_DIFERIDO</t>
        </is>
      </c>
    </row>
    <row r="110">
      <c r="A110" s="6" t="inlineStr">
        <is>
          <t>2026-04-26</t>
        </is>
      </c>
      <c r="B110" s="2" t="inlineStr">
        <is>
          <t>ingreso</t>
        </is>
      </c>
      <c r="C110" s="2" t="inlineStr">
        <is>
          <t>Cobro Diferido Venta CAL-002</t>
        </is>
      </c>
      <c r="D110" s="2" t="inlineStr">
        <is>
          <t>tarjeta_credito</t>
        </is>
      </c>
      <c r="E110" s="3" t="n">
        <v>47175</v>
      </c>
      <c r="F110" s="3" t="n">
        <v>0</v>
      </c>
      <c r="G110" s="9">
        <f>G109+E110-F110</f>
        <v/>
      </c>
      <c r="H110" s="2" t="inlineStr">
        <is>
          <t>COBRO_DIFERIDO</t>
        </is>
      </c>
    </row>
    <row r="111">
      <c r="A111" s="6" t="inlineStr">
        <is>
          <t>2026-04-27</t>
        </is>
      </c>
      <c r="B111" s="2" t="inlineStr">
        <is>
          <t>ingreso</t>
        </is>
      </c>
      <c r="C111" s="2" t="inlineStr">
        <is>
          <t>Cobro Diferido Venta BUZ-003</t>
        </is>
      </c>
      <c r="D111" s="2" t="inlineStr">
        <is>
          <t>tarjeta_credito</t>
        </is>
      </c>
      <c r="E111" s="3" t="n">
        <v>32725</v>
      </c>
      <c r="F111" s="3" t="n">
        <v>0</v>
      </c>
      <c r="G111" s="9">
        <f>G110+E111-F111</f>
        <v/>
      </c>
      <c r="H111" s="2" t="inlineStr">
        <is>
          <t>COBRO_DIFERIDO</t>
        </is>
      </c>
    </row>
    <row r="112">
      <c r="A112" s="6" t="inlineStr">
        <is>
          <t>2026-04-27</t>
        </is>
      </c>
      <c r="B112" s="2" t="inlineStr">
        <is>
          <t>ingreso</t>
        </is>
      </c>
      <c r="C112" s="2" t="inlineStr">
        <is>
          <t>Cobro Diferido Venta TOP-002</t>
        </is>
      </c>
      <c r="D112" s="2" t="inlineStr">
        <is>
          <t>tarjeta_credito</t>
        </is>
      </c>
      <c r="E112" s="3" t="n">
        <v>28050</v>
      </c>
      <c r="F112" s="3" t="n">
        <v>0</v>
      </c>
      <c r="G112" s="9">
        <f>G111+E112-F112</f>
        <v/>
      </c>
      <c r="H112" s="2" t="inlineStr">
        <is>
          <t>COBRO_DIFERIDO</t>
        </is>
      </c>
    </row>
    <row r="113">
      <c r="A113" s="6" t="inlineStr">
        <is>
          <t>2026-04-27</t>
        </is>
      </c>
      <c r="B113" s="2" t="inlineStr">
        <is>
          <t>egreso</t>
        </is>
      </c>
      <c r="C113" s="2" t="inlineStr">
        <is>
          <t>Pago Proveedor SKU REM-001</t>
        </is>
      </c>
      <c r="D113" s="2" t="inlineStr">
        <is>
          <t>transferencia</t>
        </is>
      </c>
      <c r="E113" s="3" t="n">
        <v>0</v>
      </c>
      <c r="F113" s="3" t="n">
        <v>45000</v>
      </c>
      <c r="G113" s="9">
        <f>G112+E113-F113</f>
        <v/>
      </c>
      <c r="H113" s="2" t="inlineStr">
        <is>
          <t>PAGO_PROV</t>
        </is>
      </c>
    </row>
    <row r="114">
      <c r="A114" s="6" t="inlineStr">
        <is>
          <t>2026-04-27</t>
        </is>
      </c>
      <c r="B114" s="2" t="inlineStr">
        <is>
          <t>egreso</t>
        </is>
      </c>
      <c r="C114" s="2" t="inlineStr">
        <is>
          <t>Pago Proveedor SKU BUZ-001</t>
        </is>
      </c>
      <c r="D114" s="2" t="inlineStr">
        <is>
          <t>transferencia</t>
        </is>
      </c>
      <c r="E114" s="3" t="n">
        <v>0</v>
      </c>
      <c r="F114" s="3" t="n">
        <v>130000</v>
      </c>
      <c r="G114" s="9">
        <f>G113+E114-F114</f>
        <v/>
      </c>
      <c r="H114" s="2" t="inlineStr">
        <is>
          <t>PAGO_PROV</t>
        </is>
      </c>
    </row>
    <row r="115">
      <c r="A115" s="6" t="inlineStr">
        <is>
          <t>2026-04-27</t>
        </is>
      </c>
      <c r="B115" s="2" t="inlineStr">
        <is>
          <t>egreso</t>
        </is>
      </c>
      <c r="C115" s="2" t="inlineStr">
        <is>
          <t>Pago Proveedor SKU PAN-001</t>
        </is>
      </c>
      <c r="D115" s="2" t="inlineStr">
        <is>
          <t>transferencia</t>
        </is>
      </c>
      <c r="E115" s="3" t="n">
        <v>0</v>
      </c>
      <c r="F115" s="3" t="n">
        <v>165000</v>
      </c>
      <c r="G115" s="9">
        <f>G114+E115-F115</f>
        <v/>
      </c>
      <c r="H115" s="2" t="inlineStr">
        <is>
          <t>PAGO_PROV</t>
        </is>
      </c>
    </row>
    <row r="116">
      <c r="A116" s="6" t="inlineStr">
        <is>
          <t>2026-04-28</t>
        </is>
      </c>
      <c r="B116" s="2" t="inlineStr">
        <is>
          <t>ingreso</t>
        </is>
      </c>
      <c r="C116" s="2" t="inlineStr">
        <is>
          <t>Cobro Diferido Venta ACC-001</t>
        </is>
      </c>
      <c r="D116" s="2" t="inlineStr">
        <is>
          <t>tarjeta_credito</t>
        </is>
      </c>
      <c r="E116" s="3" t="n">
        <v>28050</v>
      </c>
      <c r="F116" s="3" t="n">
        <v>0</v>
      </c>
      <c r="G116" s="9">
        <f>G115+E116-F116</f>
        <v/>
      </c>
      <c r="H116" s="2" t="inlineStr">
        <is>
          <t>COBRO_DIFERIDO</t>
        </is>
      </c>
    </row>
    <row r="117">
      <c r="A117" s="6" t="inlineStr">
        <is>
          <t>2026-04-28</t>
        </is>
      </c>
      <c r="B117" s="2" t="inlineStr">
        <is>
          <t>ingreso</t>
        </is>
      </c>
      <c r="C117" s="2" t="inlineStr">
        <is>
          <t>Cobro Diferido Venta TOP-001</t>
        </is>
      </c>
      <c r="D117" s="2" t="inlineStr">
        <is>
          <t>tarjeta_credito</t>
        </is>
      </c>
      <c r="E117" s="3" t="n">
        <v>37995</v>
      </c>
      <c r="F117" s="3" t="n">
        <v>0</v>
      </c>
      <c r="G117" s="9">
        <f>G116+E117-F117</f>
        <v/>
      </c>
      <c r="H117" s="2" t="inlineStr">
        <is>
          <t>COBRO_DIFERIDO</t>
        </is>
      </c>
    </row>
    <row r="118">
      <c r="A118" s="6" t="inlineStr">
        <is>
          <t>2026-04-29</t>
        </is>
      </c>
      <c r="B118" s="2" t="inlineStr">
        <is>
          <t>ingreso</t>
        </is>
      </c>
      <c r="C118" s="2" t="inlineStr">
        <is>
          <t>Cobro Diferido Venta REM-002</t>
        </is>
      </c>
      <c r="D118" s="2" t="inlineStr">
        <is>
          <t>tarjeta_credito</t>
        </is>
      </c>
      <c r="E118" s="3" t="n">
        <v>10625</v>
      </c>
      <c r="F118" s="3" t="n">
        <v>0</v>
      </c>
      <c r="G118" s="9">
        <f>G117+E118-F118</f>
        <v/>
      </c>
      <c r="H118" s="2" t="inlineStr">
        <is>
          <t>COBRO_DIFERIDO</t>
        </is>
      </c>
    </row>
    <row r="119">
      <c r="A119" s="6" t="inlineStr">
        <is>
          <t>2026-04-29</t>
        </is>
      </c>
      <c r="B119" s="2" t="inlineStr">
        <is>
          <t>ingreso</t>
        </is>
      </c>
      <c r="C119" s="2" t="inlineStr">
        <is>
          <t>Cobro Diferido Venta CAM-003</t>
        </is>
      </c>
      <c r="D119" s="2" t="inlineStr">
        <is>
          <t>tarjeta_credito</t>
        </is>
      </c>
      <c r="E119" s="3" t="n">
        <v>35700</v>
      </c>
      <c r="F119" s="3" t="n">
        <v>0</v>
      </c>
      <c r="G119" s="9">
        <f>G118+E119-F119</f>
        <v/>
      </c>
      <c r="H119" s="2" t="inlineStr">
        <is>
          <t>COBRO_DIFERIDO</t>
        </is>
      </c>
    </row>
    <row r="120">
      <c r="A120" s="6" t="inlineStr">
        <is>
          <t>2026-04-30</t>
        </is>
      </c>
      <c r="B120" s="2" t="inlineStr">
        <is>
          <t>ingreso</t>
        </is>
      </c>
      <c r="C120" s="2" t="inlineStr">
        <is>
          <t>Cobro Diferido Venta CAM-002</t>
        </is>
      </c>
      <c r="D120" s="2" t="inlineStr">
        <is>
          <t>tarjeta_credito</t>
        </is>
      </c>
      <c r="E120" s="3" t="n">
        <v>66000</v>
      </c>
      <c r="F120" s="3" t="n">
        <v>0</v>
      </c>
      <c r="G120" s="9">
        <f>G119+E120-F120</f>
        <v/>
      </c>
      <c r="H120" s="2" t="inlineStr">
        <is>
          <t>COBRO_DIFERIDO</t>
        </is>
      </c>
    </row>
    <row r="121">
      <c r="A121" s="6" t="inlineStr">
        <is>
          <t>2026-04-30</t>
        </is>
      </c>
      <c r="B121" s="2" t="inlineStr">
        <is>
          <t>ingreso</t>
        </is>
      </c>
      <c r="C121" s="2" t="inlineStr">
        <is>
          <t>Cobro Diferido Venta TOP-001</t>
        </is>
      </c>
      <c r="D121" s="2" t="inlineStr">
        <is>
          <t>tarjeta_credito</t>
        </is>
      </c>
      <c r="E121" s="3" t="n">
        <v>37995</v>
      </c>
      <c r="F121" s="3" t="n">
        <v>0</v>
      </c>
      <c r="G121" s="9">
        <f>G120+E121-F121</f>
        <v/>
      </c>
      <c r="H121" s="2" t="inlineStr">
        <is>
          <t>COBRO_DIFERIDO</t>
        </is>
      </c>
    </row>
    <row r="122">
      <c r="A122" s="6" t="inlineStr">
        <is>
          <t>2026-04-30</t>
        </is>
      </c>
      <c r="B122" s="2" t="inlineStr">
        <is>
          <t>egreso</t>
        </is>
      </c>
      <c r="C122" s="2" t="inlineStr">
        <is>
          <t>Pago Proveedor SKU REM-002</t>
        </is>
      </c>
      <c r="D122" s="2" t="inlineStr">
        <is>
          <t>transferencia</t>
        </is>
      </c>
      <c r="E122" s="3" t="n">
        <v>0</v>
      </c>
      <c r="F122" s="3" t="n">
        <v>58500</v>
      </c>
      <c r="G122" s="9">
        <f>G121+E122-F122</f>
        <v/>
      </c>
      <c r="H122" s="2" t="inlineStr">
        <is>
          <t>PAGO_PROV</t>
        </is>
      </c>
    </row>
    <row r="123">
      <c r="A123" s="6" t="inlineStr">
        <is>
          <t>2026-04-30</t>
        </is>
      </c>
      <c r="B123" s="2" t="inlineStr">
        <is>
          <t>egreso</t>
        </is>
      </c>
      <c r="C123" s="2" t="inlineStr">
        <is>
          <t>Pago Proveedor SKU REM-004</t>
        </is>
      </c>
      <c r="D123" s="2" t="inlineStr">
        <is>
          <t>transferencia</t>
        </is>
      </c>
      <c r="E123" s="3" t="n">
        <v>0</v>
      </c>
      <c r="F123" s="3" t="n">
        <v>111600</v>
      </c>
      <c r="G123" s="9">
        <f>G122+E123-F123</f>
        <v/>
      </c>
      <c r="H123" s="2" t="inlineStr">
        <is>
          <t>PAGO_PROV</t>
        </is>
      </c>
    </row>
    <row r="124">
      <c r="A124" s="6" t="inlineStr">
        <is>
          <t>2026-04-30</t>
        </is>
      </c>
      <c r="B124" s="2" t="inlineStr">
        <is>
          <t>egreso</t>
        </is>
      </c>
      <c r="C124" s="2" t="inlineStr">
        <is>
          <t>Pago Proveedor SKU BUZ-002</t>
        </is>
      </c>
      <c r="D124" s="2" t="inlineStr">
        <is>
          <t>transferencia</t>
        </is>
      </c>
      <c r="E124" s="3" t="n">
        <v>0</v>
      </c>
      <c r="F124" s="3" t="n">
        <v>221000</v>
      </c>
      <c r="G124" s="9">
        <f>G123+E124-F124</f>
        <v/>
      </c>
      <c r="H124" s="2" t="inlineStr">
        <is>
          <t>PAGO_PROV</t>
        </is>
      </c>
    </row>
    <row r="125">
      <c r="A125" s="6" t="inlineStr">
        <is>
          <t>2026-04-30</t>
        </is>
      </c>
      <c r="B125" s="2" t="inlineStr">
        <is>
          <t>egreso</t>
        </is>
      </c>
      <c r="C125" s="2" t="inlineStr">
        <is>
          <t>Pago Proveedor SKU CAM-001</t>
        </is>
      </c>
      <c r="D125" s="2" t="inlineStr">
        <is>
          <t>transferencia</t>
        </is>
      </c>
      <c r="E125" s="3" t="n">
        <v>0</v>
      </c>
      <c r="F125" s="3" t="n">
        <v>286000</v>
      </c>
      <c r="G125" s="9">
        <f>G124+E125-F125</f>
        <v/>
      </c>
      <c r="H125" s="2" t="inlineStr">
        <is>
          <t>PAGO_PROV</t>
        </is>
      </c>
    </row>
    <row r="126">
      <c r="A126" s="6" t="inlineStr">
        <is>
          <t>2026-04-30</t>
        </is>
      </c>
      <c r="B126" s="2" t="inlineStr">
        <is>
          <t>egreso</t>
        </is>
      </c>
      <c r="C126" s="2" t="inlineStr">
        <is>
          <t>Pago Proveedor SKU CAL-001</t>
        </is>
      </c>
      <c r="D126" s="2" t="inlineStr">
        <is>
          <t>transferencia</t>
        </is>
      </c>
      <c r="E126" s="3" t="n">
        <v>0</v>
      </c>
      <c r="F126" s="3" t="n">
        <v>85000</v>
      </c>
      <c r="G126" s="9">
        <f>G125+E126-F126</f>
        <v/>
      </c>
      <c r="H126" s="2" t="inlineStr">
        <is>
          <t>PAGO_PROV</t>
        </is>
      </c>
    </row>
    <row r="127">
      <c r="A127" s="6" t="inlineStr">
        <is>
          <t>2026-04-30</t>
        </is>
      </c>
      <c r="B127" s="2" t="inlineStr">
        <is>
          <t>egreso</t>
        </is>
      </c>
      <c r="C127" s="2" t="inlineStr">
        <is>
          <t>Pago Proveedor SKU CAL-002</t>
        </is>
      </c>
      <c r="D127" s="2" t="inlineStr">
        <is>
          <t>transferencia</t>
        </is>
      </c>
      <c r="E127" s="3" t="n">
        <v>0</v>
      </c>
      <c r="F127" s="3" t="n">
        <v>102000</v>
      </c>
      <c r="G127" s="9">
        <f>G126+E127-F127</f>
        <v/>
      </c>
      <c r="H127" s="2" t="inlineStr">
        <is>
          <t>PAGO_PROV</t>
        </is>
      </c>
    </row>
    <row r="128">
      <c r="A128" s="6" t="inlineStr">
        <is>
          <t>2026-04-30</t>
        </is>
      </c>
      <c r="B128" s="2" t="inlineStr">
        <is>
          <t>egreso</t>
        </is>
      </c>
      <c r="C128" s="2" t="inlineStr">
        <is>
          <t>Pago Proveedor SKU TOP-001</t>
        </is>
      </c>
      <c r="D128" s="2" t="inlineStr">
        <is>
          <t>transferencia</t>
        </is>
      </c>
      <c r="E128" s="3" t="n">
        <v>0</v>
      </c>
      <c r="F128" s="3" t="n">
        <v>71500</v>
      </c>
      <c r="G128" s="9">
        <f>G127+E128-F128</f>
        <v/>
      </c>
      <c r="H128" s="2" t="inlineStr">
        <is>
          <t>PAGO_PROV</t>
        </is>
      </c>
    </row>
    <row r="129">
      <c r="A129" s="6" t="inlineStr">
        <is>
          <t>2026-04-30</t>
        </is>
      </c>
      <c r="B129" s="2" t="inlineStr">
        <is>
          <t>egreso</t>
        </is>
      </c>
      <c r="C129" s="2" t="inlineStr">
        <is>
          <t>Pago Proveedor SKU TOP-002</t>
        </is>
      </c>
      <c r="D129" s="2" t="inlineStr">
        <is>
          <t>transferencia</t>
        </is>
      </c>
      <c r="E129" s="3" t="n">
        <v>0</v>
      </c>
      <c r="F129" s="3" t="n">
        <v>99200</v>
      </c>
      <c r="G129" s="9">
        <f>G128+E129-F129</f>
        <v/>
      </c>
      <c r="H129" s="2" t="inlineStr">
        <is>
          <t>PAGO_PROV</t>
        </is>
      </c>
    </row>
    <row r="130">
      <c r="A130" s="6" t="inlineStr">
        <is>
          <t>2026-04-30</t>
        </is>
      </c>
      <c r="B130" s="2" t="inlineStr">
        <is>
          <t>egreso</t>
        </is>
      </c>
      <c r="C130" s="2" t="inlineStr">
        <is>
          <t>Pago Proveedor SKU MED-001</t>
        </is>
      </c>
      <c r="D130" s="2" t="inlineStr">
        <is>
          <t>transferencia</t>
        </is>
      </c>
      <c r="E130" s="3" t="n">
        <v>0</v>
      </c>
      <c r="F130" s="3" t="n">
        <v>20900</v>
      </c>
      <c r="G130" s="9">
        <f>G129+E130-F130</f>
        <v/>
      </c>
      <c r="H130" s="2" t="inlineStr">
        <is>
          <t>PAGO_PROV</t>
        </is>
      </c>
    </row>
    <row r="131">
      <c r="A131" s="6" t="inlineStr">
        <is>
          <t>2026-04-30</t>
        </is>
      </c>
      <c r="B131" s="2" t="inlineStr">
        <is>
          <t>egreso</t>
        </is>
      </c>
      <c r="C131" s="2" t="inlineStr">
        <is>
          <t>Pago Proveedor SKU MED-002</t>
        </is>
      </c>
      <c r="D131" s="2" t="inlineStr">
        <is>
          <t>transferencia</t>
        </is>
      </c>
      <c r="E131" s="3" t="n">
        <v>0</v>
      </c>
      <c r="F131" s="3" t="n">
        <v>19200</v>
      </c>
      <c r="G131" s="9">
        <f>G130+E131-F131</f>
        <v/>
      </c>
      <c r="H131" s="2" t="inlineStr">
        <is>
          <t>PAGO_PROV</t>
        </is>
      </c>
    </row>
    <row r="132">
      <c r="A132" s="6" t="inlineStr">
        <is>
          <t>2026-04-30</t>
        </is>
      </c>
      <c r="B132" s="2" t="inlineStr">
        <is>
          <t>egreso</t>
        </is>
      </c>
      <c r="C132" s="2" t="inlineStr">
        <is>
          <t>Pago Proveedor SKU ACC-001</t>
        </is>
      </c>
      <c r="D132" s="2" t="inlineStr">
        <is>
          <t>transferencia</t>
        </is>
      </c>
      <c r="E132" s="3" t="n">
        <v>0</v>
      </c>
      <c r="F132" s="3" t="n">
        <v>41800</v>
      </c>
      <c r="G132" s="9">
        <f>G131+E132-F132</f>
        <v/>
      </c>
      <c r="H132" s="2" t="inlineStr">
        <is>
          <t>PAGO_PROV</t>
        </is>
      </c>
    </row>
    <row r="133">
      <c r="A133" s="6" t="inlineStr">
        <is>
          <t>2026-05-01</t>
        </is>
      </c>
      <c r="B133" s="2" t="inlineStr">
        <is>
          <t>ingreso</t>
        </is>
      </c>
      <c r="C133" s="2" t="inlineStr">
        <is>
          <t>Cobro Diferido Venta PAN-003</t>
        </is>
      </c>
      <c r="D133" s="2" t="inlineStr">
        <is>
          <t>tarjeta_credito</t>
        </is>
      </c>
      <c r="E133" s="3" t="n">
        <v>69700</v>
      </c>
      <c r="F133" s="3" t="n">
        <v>0</v>
      </c>
      <c r="G133" s="9">
        <f>G132+E133-F133</f>
        <v/>
      </c>
      <c r="H133" s="2" t="inlineStr">
        <is>
          <t>COBRO_DIFERIDO</t>
        </is>
      </c>
    </row>
    <row r="134">
      <c r="A134" s="6" t="inlineStr">
        <is>
          <t>2026-05-01</t>
        </is>
      </c>
      <c r="B134" s="2" t="inlineStr">
        <is>
          <t>ingreso</t>
        </is>
      </c>
      <c r="C134" s="2" t="inlineStr">
        <is>
          <t>Cobro Diferido Venta CAL-002</t>
        </is>
      </c>
      <c r="D134" s="2" t="inlineStr">
        <is>
          <t>tarjeta_credito</t>
        </is>
      </c>
      <c r="E134" s="3" t="n">
        <v>31450</v>
      </c>
      <c r="F134" s="3" t="n">
        <v>0</v>
      </c>
      <c r="G134" s="9">
        <f>G133+E134-F134</f>
        <v/>
      </c>
      <c r="H134" s="2" t="inlineStr">
        <is>
          <t>COBRO_DIFERIDO</t>
        </is>
      </c>
    </row>
    <row r="135">
      <c r="A135" s="6" t="inlineStr">
        <is>
          <t>2026-05-02</t>
        </is>
      </c>
      <c r="B135" s="2" t="inlineStr">
        <is>
          <t>ingreso</t>
        </is>
      </c>
      <c r="C135" s="2" t="inlineStr">
        <is>
          <t>Cobro Diferido Venta PAN-003</t>
        </is>
      </c>
      <c r="D135" s="2" t="inlineStr">
        <is>
          <t>tarjeta_credito</t>
        </is>
      </c>
      <c r="E135" s="3" t="n">
        <v>69700</v>
      </c>
      <c r="F135" s="3" t="n">
        <v>0</v>
      </c>
      <c r="G135" s="9">
        <f>G134+E135-F135</f>
        <v/>
      </c>
      <c r="H135" s="2" t="inlineStr">
        <is>
          <t>COBRO_DIFERIDO</t>
        </is>
      </c>
    </row>
    <row r="136">
      <c r="A136" s="6" t="inlineStr">
        <is>
          <t>2026-05-02</t>
        </is>
      </c>
      <c r="B136" s="2" t="inlineStr">
        <is>
          <t>ingreso</t>
        </is>
      </c>
      <c r="C136" s="2" t="inlineStr">
        <is>
          <t>Cobro Diferido Venta BUZ-001</t>
        </is>
      </c>
      <c r="D136" s="2" t="inlineStr">
        <is>
          <t>tarjeta_credito</t>
        </is>
      </c>
      <c r="E136" s="3" t="n">
        <v>86700</v>
      </c>
      <c r="F136" s="3" t="n">
        <v>0</v>
      </c>
      <c r="G136" s="9">
        <f>G135+E136-F136</f>
        <v/>
      </c>
      <c r="H136" s="2" t="inlineStr">
        <is>
          <t>COBRO_DIFERIDO</t>
        </is>
      </c>
    </row>
    <row r="137">
      <c r="A137" s="6" t="inlineStr">
        <is>
          <t>2026-05-02</t>
        </is>
      </c>
      <c r="B137" s="2" t="inlineStr">
        <is>
          <t>ingreso</t>
        </is>
      </c>
      <c r="C137" s="2" t="inlineStr">
        <is>
          <t>Cobro Venta PAN-003</t>
        </is>
      </c>
      <c r="D137" s="2" t="inlineStr">
        <is>
          <t>mercado_pago</t>
        </is>
      </c>
      <c r="E137" s="3" t="n">
        <v>41000</v>
      </c>
      <c r="F137" s="3" t="n">
        <v>0</v>
      </c>
      <c r="G137" s="9">
        <f>G136+E137-F137</f>
        <v/>
      </c>
      <c r="H137" s="2" t="inlineStr">
        <is>
          <t>VENTA_DIRECTA</t>
        </is>
      </c>
    </row>
    <row r="138">
      <c r="A138" s="6" t="inlineStr">
        <is>
          <t>2026-05-03</t>
        </is>
      </c>
      <c r="B138" s="2" t="inlineStr">
        <is>
          <t>ingreso</t>
        </is>
      </c>
      <c r="C138" s="2" t="inlineStr">
        <is>
          <t>Cobro Diferido Venta TOP-002</t>
        </is>
      </c>
      <c r="D138" s="2" t="inlineStr">
        <is>
          <t>tarjeta_credito</t>
        </is>
      </c>
      <c r="E138" s="3" t="n">
        <v>42075</v>
      </c>
      <c r="F138" s="3" t="n">
        <v>0</v>
      </c>
      <c r="G138" s="9">
        <f>G137+E138-F138</f>
        <v/>
      </c>
      <c r="H138" s="2" t="inlineStr">
        <is>
          <t>COBRO_DIFERIDO</t>
        </is>
      </c>
    </row>
    <row r="139">
      <c r="A139" s="6" t="inlineStr">
        <is>
          <t>2026-05-03</t>
        </is>
      </c>
      <c r="B139" s="2" t="inlineStr">
        <is>
          <t>ingreso</t>
        </is>
      </c>
      <c r="C139" s="2" t="inlineStr">
        <is>
          <t>Cobro Diferido Venta ACC-001</t>
        </is>
      </c>
      <c r="D139" s="2" t="inlineStr">
        <is>
          <t>tarjeta_credito</t>
        </is>
      </c>
      <c r="E139" s="3" t="n">
        <v>9350</v>
      </c>
      <c r="F139" s="3" t="n">
        <v>0</v>
      </c>
      <c r="G139" s="9">
        <f>G138+E139-F139</f>
        <v/>
      </c>
      <c r="H139" s="2" t="inlineStr">
        <is>
          <t>COBRO_DIFERIDO</t>
        </is>
      </c>
    </row>
    <row r="140">
      <c r="A140" s="6" t="inlineStr">
        <is>
          <t>2026-05-04</t>
        </is>
      </c>
      <c r="B140" s="2" t="inlineStr">
        <is>
          <t>ingreso</t>
        </is>
      </c>
      <c r="C140" s="2" t="inlineStr">
        <is>
          <t>Cobro Diferido Venta ACC-003</t>
        </is>
      </c>
      <c r="D140" s="2" t="inlineStr">
        <is>
          <t>tarjeta_credito</t>
        </is>
      </c>
      <c r="E140" s="3" t="n">
        <v>44200</v>
      </c>
      <c r="F140" s="3" t="n">
        <v>0</v>
      </c>
      <c r="G140" s="9">
        <f>G139+E140-F140</f>
        <v/>
      </c>
      <c r="H140" s="2" t="inlineStr">
        <is>
          <t>COBRO_DIFERIDO</t>
        </is>
      </c>
    </row>
    <row r="141">
      <c r="A141" s="6" t="inlineStr">
        <is>
          <t>2026-05-04</t>
        </is>
      </c>
      <c r="B141" s="2" t="inlineStr">
        <is>
          <t>ingreso</t>
        </is>
      </c>
      <c r="C141" s="2" t="inlineStr">
        <is>
          <t>Cobro Diferido Venta ACC-001</t>
        </is>
      </c>
      <c r="D141" s="2" t="inlineStr">
        <is>
          <t>tarjeta_credito</t>
        </is>
      </c>
      <c r="E141" s="3" t="n">
        <v>9350</v>
      </c>
      <c r="F141" s="3" t="n">
        <v>0</v>
      </c>
      <c r="G141" s="9">
        <f>G140+E141-F141</f>
        <v/>
      </c>
      <c r="H141" s="2" t="inlineStr">
        <is>
          <t>COBRO_DIFERIDO</t>
        </is>
      </c>
    </row>
    <row r="142">
      <c r="A142" s="6" t="inlineStr">
        <is>
          <t>2026-05-05</t>
        </is>
      </c>
      <c r="B142" s="2" t="inlineStr">
        <is>
          <t>ingreso</t>
        </is>
      </c>
      <c r="C142" s="2" t="inlineStr">
        <is>
          <t>Cobro Diferido Venta PAN-001</t>
        </is>
      </c>
      <c r="D142" s="2" t="inlineStr">
        <is>
          <t>cuenta_corriente</t>
        </is>
      </c>
      <c r="E142" s="3" t="n">
        <v>686000</v>
      </c>
      <c r="F142" s="3" t="n">
        <v>0</v>
      </c>
      <c r="G142" s="9">
        <f>G141+E142-F142</f>
        <v/>
      </c>
      <c r="H142" s="2" t="inlineStr">
        <is>
          <t>COBRO_DIFERIDO</t>
        </is>
      </c>
    </row>
    <row r="143">
      <c r="A143" s="6" t="inlineStr">
        <is>
          <t>2026-05-05</t>
        </is>
      </c>
      <c r="B143" s="2" t="inlineStr">
        <is>
          <t>ingreso</t>
        </is>
      </c>
      <c r="C143" s="2" t="inlineStr">
        <is>
          <t>Cobro Diferido Venta PAN-003</t>
        </is>
      </c>
      <c r="D143" s="2" t="inlineStr">
        <is>
          <t>tarjeta_credito</t>
        </is>
      </c>
      <c r="E143" s="3" t="n">
        <v>69700</v>
      </c>
      <c r="F143" s="3" t="n">
        <v>0</v>
      </c>
      <c r="G143" s="9">
        <f>G142+E143-F143</f>
        <v/>
      </c>
      <c r="H143" s="2" t="inlineStr">
        <is>
          <t>COBRO_DIFERIDO</t>
        </is>
      </c>
    </row>
    <row r="144">
      <c r="A144" s="6" t="inlineStr">
        <is>
          <t>2026-05-05</t>
        </is>
      </c>
      <c r="B144" s="2" t="inlineStr">
        <is>
          <t>ingreso</t>
        </is>
      </c>
      <c r="C144" s="2" t="inlineStr">
        <is>
          <t>Cobro Diferido Venta PAN-003</t>
        </is>
      </c>
      <c r="D144" s="2" t="inlineStr">
        <is>
          <t>tarjeta_credito</t>
        </is>
      </c>
      <c r="E144" s="3" t="n">
        <v>34850</v>
      </c>
      <c r="F144" s="3" t="n">
        <v>0</v>
      </c>
      <c r="G144" s="9">
        <f>G143+E144-F144</f>
        <v/>
      </c>
      <c r="H144" s="2" t="inlineStr">
        <is>
          <t>COBRO_DIFERIDO</t>
        </is>
      </c>
    </row>
    <row r="145">
      <c r="A145" s="6" t="inlineStr">
        <is>
          <t>2026-05-05</t>
        </is>
      </c>
      <c r="B145" s="2" t="inlineStr">
        <is>
          <t>egreso</t>
        </is>
      </c>
      <c r="C145" s="2" t="inlineStr">
        <is>
          <t>Pago CF: Alquiler Showroom y Depósito</t>
        </is>
      </c>
      <c r="D145" s="2" t="inlineStr">
        <is>
          <t>transferencia</t>
        </is>
      </c>
      <c r="E145" s="3" t="n">
        <v>0</v>
      </c>
      <c r="F145" s="3" t="n">
        <v>562500</v>
      </c>
      <c r="G145" s="9">
        <f>G144+E145-F145</f>
        <v/>
      </c>
      <c r="H145" s="2" t="inlineStr">
        <is>
          <t>COSTO_FIJO</t>
        </is>
      </c>
    </row>
    <row r="146">
      <c r="A146" s="6" t="inlineStr">
        <is>
          <t>2026-05-05</t>
        </is>
      </c>
      <c r="B146" s="2" t="inlineStr">
        <is>
          <t>egreso</t>
        </is>
      </c>
      <c r="C146" s="2" t="inlineStr">
        <is>
          <t>Pago CF: Sueldos Personal Confección/Ventas</t>
        </is>
      </c>
      <c r="D146" s="2" t="inlineStr">
        <is>
          <t>transferencia</t>
        </is>
      </c>
      <c r="E146" s="3" t="n">
        <v>0</v>
      </c>
      <c r="F146" s="3" t="n">
        <v>1440000</v>
      </c>
      <c r="G146" s="9">
        <f>G145+E146-F146</f>
        <v/>
      </c>
      <c r="H146" s="2" t="inlineStr">
        <is>
          <t>COSTO_FIJO</t>
        </is>
      </c>
    </row>
    <row r="147">
      <c r="A147" s="6" t="inlineStr">
        <is>
          <t>2026-05-06</t>
        </is>
      </c>
      <c r="B147" s="2" t="inlineStr">
        <is>
          <t>ingreso</t>
        </is>
      </c>
      <c r="C147" s="2" t="inlineStr">
        <is>
          <t>Cobro Diferido Venta BUZ-002</t>
        </is>
      </c>
      <c r="D147" s="2" t="inlineStr">
        <is>
          <t>tarjeta_credito</t>
        </is>
      </c>
      <c r="E147" s="3" t="n">
        <v>57800</v>
      </c>
      <c r="F147" s="3" t="n">
        <v>0</v>
      </c>
      <c r="G147" s="9">
        <f>G146+E147-F147</f>
        <v/>
      </c>
      <c r="H147" s="2" t="inlineStr">
        <is>
          <t>COBRO_DIFERIDO</t>
        </is>
      </c>
    </row>
    <row r="148">
      <c r="A148" s="6" t="inlineStr">
        <is>
          <t>2026-05-06</t>
        </is>
      </c>
      <c r="B148" s="2" t="inlineStr">
        <is>
          <t>ingreso</t>
        </is>
      </c>
      <c r="C148" s="2" t="inlineStr">
        <is>
          <t>Cobro Diferido Venta TOP-001</t>
        </is>
      </c>
      <c r="D148" s="2" t="inlineStr">
        <is>
          <t>tarjeta_credito</t>
        </is>
      </c>
      <c r="E148" s="3" t="n">
        <v>37995</v>
      </c>
      <c r="F148" s="3" t="n">
        <v>0</v>
      </c>
      <c r="G148" s="9">
        <f>G147+E148-F148</f>
        <v/>
      </c>
      <c r="H148" s="2" t="inlineStr">
        <is>
          <t>COBRO_DIFERIDO</t>
        </is>
      </c>
    </row>
    <row r="149">
      <c r="A149" s="6" t="inlineStr">
        <is>
          <t>2026-05-06</t>
        </is>
      </c>
      <c r="B149" s="2" t="inlineStr">
        <is>
          <t>ingreso</t>
        </is>
      </c>
      <c r="C149" s="2" t="inlineStr">
        <is>
          <t>Cobro Venta BUZ-003</t>
        </is>
      </c>
      <c r="D149" s="2" t="inlineStr">
        <is>
          <t>mercado_pago</t>
        </is>
      </c>
      <c r="E149" s="3" t="n">
        <v>38500</v>
      </c>
      <c r="F149" s="3" t="n">
        <v>0</v>
      </c>
      <c r="G149" s="9">
        <f>G148+E149-F149</f>
        <v/>
      </c>
      <c r="H149" s="2" t="inlineStr">
        <is>
          <t>VENTA_DIRECTA</t>
        </is>
      </c>
    </row>
    <row r="150">
      <c r="A150" s="6" t="inlineStr">
        <is>
          <t>2026-05-07</t>
        </is>
      </c>
      <c r="B150" s="2" t="inlineStr">
        <is>
          <t>ingreso</t>
        </is>
      </c>
      <c r="C150" s="2" t="inlineStr">
        <is>
          <t>Cobro Diferido Venta TOP-002</t>
        </is>
      </c>
      <c r="D150" s="2" t="inlineStr">
        <is>
          <t>tarjeta_credito</t>
        </is>
      </c>
      <c r="E150" s="3" t="n">
        <v>28050</v>
      </c>
      <c r="F150" s="3" t="n">
        <v>0</v>
      </c>
      <c r="G150" s="9">
        <f>G149+E150-F150</f>
        <v/>
      </c>
      <c r="H150" s="2" t="inlineStr">
        <is>
          <t>COBRO_DIFERIDO</t>
        </is>
      </c>
    </row>
    <row r="151">
      <c r="A151" s="6" t="inlineStr">
        <is>
          <t>2026-05-07</t>
        </is>
      </c>
      <c r="B151" s="2" t="inlineStr">
        <is>
          <t>ingreso</t>
        </is>
      </c>
      <c r="C151" s="2" t="inlineStr">
        <is>
          <t>Cobro Diferido Venta MED-002</t>
        </is>
      </c>
      <c r="D151" s="2" t="inlineStr">
        <is>
          <t>tarjeta_credito</t>
        </is>
      </c>
      <c r="E151" s="3" t="n">
        <v>11730</v>
      </c>
      <c r="F151" s="3" t="n">
        <v>0</v>
      </c>
      <c r="G151" s="9">
        <f>G150+E151-F151</f>
        <v/>
      </c>
      <c r="H151" s="2" t="inlineStr">
        <is>
          <t>COBRO_DIFERIDO</t>
        </is>
      </c>
    </row>
    <row r="152">
      <c r="A152" s="6" t="inlineStr">
        <is>
          <t>2026-05-08</t>
        </is>
      </c>
      <c r="B152" s="2" t="inlineStr">
        <is>
          <t>ingreso</t>
        </is>
      </c>
      <c r="C152" s="2" t="inlineStr">
        <is>
          <t>Cobro Diferido Venta CAL-002</t>
        </is>
      </c>
      <c r="D152" s="2" t="inlineStr">
        <is>
          <t>tarjeta_credito</t>
        </is>
      </c>
      <c r="E152" s="3" t="n">
        <v>15725</v>
      </c>
      <c r="F152" s="3" t="n">
        <v>0</v>
      </c>
      <c r="G152" s="9">
        <f>G151+E152-F152</f>
        <v/>
      </c>
      <c r="H152" s="2" t="inlineStr">
        <is>
          <t>COBRO_DIFERIDO</t>
        </is>
      </c>
    </row>
    <row r="153">
      <c r="A153" s="6" t="inlineStr">
        <is>
          <t>2026-05-08</t>
        </is>
      </c>
      <c r="B153" s="2" t="inlineStr">
        <is>
          <t>ingreso</t>
        </is>
      </c>
      <c r="C153" s="2" t="inlineStr">
        <is>
          <t>Cobro Diferido Venta REM-001</t>
        </is>
      </c>
      <c r="D153" s="2" t="inlineStr">
        <is>
          <t>tarjeta_credito</t>
        </is>
      </c>
      <c r="E153" s="3" t="n">
        <v>31875</v>
      </c>
      <c r="F153" s="3" t="n">
        <v>0</v>
      </c>
      <c r="G153" s="9">
        <f>G152+E153-F153</f>
        <v/>
      </c>
      <c r="H153" s="2" t="inlineStr">
        <is>
          <t>COBRO_DIFERIDO</t>
        </is>
      </c>
    </row>
    <row r="154">
      <c r="A154" s="6" t="inlineStr">
        <is>
          <t>2026-05-08</t>
        </is>
      </c>
      <c r="B154" s="2" t="inlineStr">
        <is>
          <t>ingreso</t>
        </is>
      </c>
      <c r="C154" s="2" t="inlineStr">
        <is>
          <t>Cobro Venta MED-001</t>
        </is>
      </c>
      <c r="D154" s="2" t="inlineStr">
        <is>
          <t>mercado_pago</t>
        </is>
      </c>
      <c r="E154" s="3" t="n">
        <v>10800</v>
      </c>
      <c r="F154" s="3" t="n">
        <v>0</v>
      </c>
      <c r="G154" s="9">
        <f>G153+E154-F154</f>
        <v/>
      </c>
      <c r="H154" s="2" t="inlineStr">
        <is>
          <t>VENTA_DIRECTA</t>
        </is>
      </c>
    </row>
    <row r="155">
      <c r="A155" s="6" t="inlineStr">
        <is>
          <t>2026-05-09</t>
        </is>
      </c>
      <c r="B155" s="2" t="inlineStr">
        <is>
          <t>ingreso</t>
        </is>
      </c>
      <c r="C155" s="2" t="inlineStr">
        <is>
          <t>Cobro Diferido Venta REM-004</t>
        </is>
      </c>
      <c r="D155" s="2" t="inlineStr">
        <is>
          <t>tarjeta_credito</t>
        </is>
      </c>
      <c r="E155" s="3" t="n">
        <v>15130</v>
      </c>
      <c r="F155" s="3" t="n">
        <v>0</v>
      </c>
      <c r="G155" s="9">
        <f>G154+E155-F155</f>
        <v/>
      </c>
      <c r="H155" s="2" t="inlineStr">
        <is>
          <t>COBRO_DIFERIDO</t>
        </is>
      </c>
    </row>
    <row r="156">
      <c r="A156" s="6" t="inlineStr">
        <is>
          <t>2026-05-09</t>
        </is>
      </c>
      <c r="B156" s="2" t="inlineStr">
        <is>
          <t>ingreso</t>
        </is>
      </c>
      <c r="C156" s="2" t="inlineStr">
        <is>
          <t>Cobro Diferido Venta TOP-002</t>
        </is>
      </c>
      <c r="D156" s="2" t="inlineStr">
        <is>
          <t>tarjeta_credito</t>
        </is>
      </c>
      <c r="E156" s="3" t="n">
        <v>14025</v>
      </c>
      <c r="F156" s="3" t="n">
        <v>0</v>
      </c>
      <c r="G156" s="9">
        <f>G155+E156-F156</f>
        <v/>
      </c>
      <c r="H156" s="2" t="inlineStr">
        <is>
          <t>COBRO_DIFERIDO</t>
        </is>
      </c>
    </row>
    <row r="157">
      <c r="A157" s="6" t="inlineStr">
        <is>
          <t>2026-05-10</t>
        </is>
      </c>
      <c r="B157" s="2" t="inlineStr">
        <is>
          <t>ingreso</t>
        </is>
      </c>
      <c r="C157" s="2" t="inlineStr">
        <is>
          <t>Cobro Diferido Venta CAM-002</t>
        </is>
      </c>
      <c r="D157" s="2" t="inlineStr">
        <is>
          <t>tarjeta_credito</t>
        </is>
      </c>
      <c r="E157" s="3" t="n">
        <v>66000</v>
      </c>
      <c r="F157" s="3" t="n">
        <v>0</v>
      </c>
      <c r="G157" s="9">
        <f>G156+E157-F157</f>
        <v/>
      </c>
      <c r="H157" s="2" t="inlineStr">
        <is>
          <t>COBRO_DIFERIDO</t>
        </is>
      </c>
    </row>
    <row r="158">
      <c r="A158" s="6" t="inlineStr">
        <is>
          <t>2026-05-10</t>
        </is>
      </c>
      <c r="B158" s="2" t="inlineStr">
        <is>
          <t>ingreso</t>
        </is>
      </c>
      <c r="C158" s="2" t="inlineStr">
        <is>
          <t>Cobro Diferido Venta REM-003</t>
        </is>
      </c>
      <c r="D158" s="2" t="inlineStr">
        <is>
          <t>tarjeta_credito</t>
        </is>
      </c>
      <c r="E158" s="3" t="n">
        <v>26350</v>
      </c>
      <c r="F158" s="3" t="n">
        <v>0</v>
      </c>
      <c r="G158" s="9">
        <f>G157+E158-F158</f>
        <v/>
      </c>
      <c r="H158" s="2" t="inlineStr">
        <is>
          <t>COBRO_DIFERIDO</t>
        </is>
      </c>
    </row>
    <row r="159">
      <c r="A159" s="6" t="inlineStr">
        <is>
          <t>2026-05-10</t>
        </is>
      </c>
      <c r="B159" s="2" t="inlineStr">
        <is>
          <t>ingreso</t>
        </is>
      </c>
      <c r="C159" s="2" t="inlineStr">
        <is>
          <t>Cobro Venta PAN-003</t>
        </is>
      </c>
      <c r="D159" s="2" t="inlineStr">
        <is>
          <t>mercado_pago</t>
        </is>
      </c>
      <c r="E159" s="3" t="n">
        <v>41000</v>
      </c>
      <c r="F159" s="3" t="n">
        <v>0</v>
      </c>
      <c r="G159" s="9">
        <f>G158+E159-F159</f>
        <v/>
      </c>
      <c r="H159" s="2" t="inlineStr">
        <is>
          <t>VENTA_DIRECTA</t>
        </is>
      </c>
    </row>
    <row r="160">
      <c r="A160" s="6" t="inlineStr">
        <is>
          <t>2026-05-10</t>
        </is>
      </c>
      <c r="B160" s="2" t="inlineStr">
        <is>
          <t>egreso</t>
        </is>
      </c>
      <c r="C160" s="2" t="inlineStr">
        <is>
          <t>Pago CF: Servicios (Luz, Internet, Gas)</t>
        </is>
      </c>
      <c r="D160" s="2" t="inlineStr">
        <is>
          <t>transferencia</t>
        </is>
      </c>
      <c r="E160" s="3" t="n">
        <v>0</v>
      </c>
      <c r="F160" s="3" t="n">
        <v>147250</v>
      </c>
      <c r="G160" s="9">
        <f>G159+E160-F160</f>
        <v/>
      </c>
      <c r="H160" s="2" t="inlineStr">
        <is>
          <t>COSTO_FIJO</t>
        </is>
      </c>
    </row>
    <row r="161">
      <c r="A161" s="6" t="inlineStr">
        <is>
          <t>2026-05-10</t>
        </is>
      </c>
      <c r="B161" s="2" t="inlineStr">
        <is>
          <t>egreso</t>
        </is>
      </c>
      <c r="C161" s="2" t="inlineStr">
        <is>
          <t>Pago CF: Honorarios Contador</t>
        </is>
      </c>
      <c r="D161" s="2" t="inlineStr">
        <is>
          <t>transferencia</t>
        </is>
      </c>
      <c r="E161" s="3" t="n">
        <v>0</v>
      </c>
      <c r="F161" s="3" t="n">
        <v>80000</v>
      </c>
      <c r="G161" s="9">
        <f>G160+E161-F161</f>
        <v/>
      </c>
      <c r="H161" s="2" t="inlineStr">
        <is>
          <t>COSTO_FIJO</t>
        </is>
      </c>
    </row>
    <row r="162">
      <c r="A162" s="6" t="inlineStr">
        <is>
          <t>2026-05-10</t>
        </is>
      </c>
      <c r="B162" s="2" t="inlineStr">
        <is>
          <t>egreso</t>
        </is>
      </c>
      <c r="C162" s="2" t="inlineStr">
        <is>
          <t>Pago CF: Software de Gestión y Tienda Cloud</t>
        </is>
      </c>
      <c r="D162" s="2" t="inlineStr">
        <is>
          <t>transferencia</t>
        </is>
      </c>
      <c r="E162" s="3" t="n">
        <v>0</v>
      </c>
      <c r="F162" s="3" t="n">
        <v>35000</v>
      </c>
      <c r="G162" s="9">
        <f>G161+E162-F162</f>
        <v/>
      </c>
      <c r="H162" s="2" t="inlineStr">
        <is>
          <t>COSTO_FIJO</t>
        </is>
      </c>
    </row>
    <row r="163">
      <c r="A163" s="6" t="inlineStr">
        <is>
          <t>2026-05-11</t>
        </is>
      </c>
      <c r="B163" s="2" t="inlineStr">
        <is>
          <t>ingreso</t>
        </is>
      </c>
      <c r="C163" s="2" t="inlineStr">
        <is>
          <t>Cobro Diferido Venta ACC-001</t>
        </is>
      </c>
      <c r="D163" s="2" t="inlineStr">
        <is>
          <t>tarjeta_credito</t>
        </is>
      </c>
      <c r="E163" s="3" t="n">
        <v>9350</v>
      </c>
      <c r="F163" s="3" t="n">
        <v>0</v>
      </c>
      <c r="G163" s="9">
        <f>G162+E163-F163</f>
        <v/>
      </c>
      <c r="H163" s="2" t="inlineStr">
        <is>
          <t>COBRO_DIFERIDO</t>
        </is>
      </c>
    </row>
    <row r="164">
      <c r="A164" s="6" t="inlineStr">
        <is>
          <t>2026-05-11</t>
        </is>
      </c>
      <c r="B164" s="2" t="inlineStr">
        <is>
          <t>ingreso</t>
        </is>
      </c>
      <c r="C164" s="2" t="inlineStr">
        <is>
          <t>Cobro Diferido Venta ACC-002</t>
        </is>
      </c>
      <c r="D164" s="2" t="inlineStr">
        <is>
          <t>tarjeta_credito</t>
        </is>
      </c>
      <c r="E164" s="3" t="n">
        <v>24225</v>
      </c>
      <c r="F164" s="3" t="n">
        <v>0</v>
      </c>
      <c r="G164" s="9">
        <f>G163+E164-F164</f>
        <v/>
      </c>
      <c r="H164" s="2" t="inlineStr">
        <is>
          <t>COBRO_DIFERIDO</t>
        </is>
      </c>
    </row>
    <row r="165">
      <c r="A165" s="6" t="inlineStr">
        <is>
          <t>2026-05-12</t>
        </is>
      </c>
      <c r="B165" s="2" t="inlineStr">
        <is>
          <t>ingreso</t>
        </is>
      </c>
      <c r="C165" s="2" t="inlineStr">
        <is>
          <t>Cobro Diferido Venta REM-001</t>
        </is>
      </c>
      <c r="D165" s="2" t="inlineStr">
        <is>
          <t>cuenta_corriente</t>
        </is>
      </c>
      <c r="E165" s="3" t="n">
        <v>200900</v>
      </c>
      <c r="F165" s="3" t="n">
        <v>0</v>
      </c>
      <c r="G165" s="9">
        <f>G164+E165-F165</f>
        <v/>
      </c>
      <c r="H165" s="2" t="inlineStr">
        <is>
          <t>COBRO_DIFERIDO</t>
        </is>
      </c>
    </row>
    <row r="166">
      <c r="A166" s="6" t="inlineStr">
        <is>
          <t>2026-05-12</t>
        </is>
      </c>
      <c r="B166" s="2" t="inlineStr">
        <is>
          <t>ingreso</t>
        </is>
      </c>
      <c r="C166" s="2" t="inlineStr">
        <is>
          <t>Cobro Diferido Venta CAM-002</t>
        </is>
      </c>
      <c r="D166" s="2" t="inlineStr">
        <is>
          <t>tarjeta_credito</t>
        </is>
      </c>
      <c r="E166" s="3" t="n">
        <v>66000</v>
      </c>
      <c r="F166" s="3" t="n">
        <v>0</v>
      </c>
      <c r="G166" s="9">
        <f>G165+E166-F166</f>
        <v/>
      </c>
      <c r="H166" s="2" t="inlineStr">
        <is>
          <t>COBRO_DIFERIDO</t>
        </is>
      </c>
    </row>
    <row r="167">
      <c r="A167" s="6" t="inlineStr">
        <is>
          <t>2026-05-12</t>
        </is>
      </c>
      <c r="B167" s="2" t="inlineStr">
        <is>
          <t>ingreso</t>
        </is>
      </c>
      <c r="C167" s="2" t="inlineStr">
        <is>
          <t>Cobro Diferido Venta ACC-002</t>
        </is>
      </c>
      <c r="D167" s="2" t="inlineStr">
        <is>
          <t>tarjeta_credito</t>
        </is>
      </c>
      <c r="E167" s="3" t="n">
        <v>16150</v>
      </c>
      <c r="F167" s="3" t="n">
        <v>0</v>
      </c>
      <c r="G167" s="9">
        <f>G166+E167-F167</f>
        <v/>
      </c>
      <c r="H167" s="2" t="inlineStr">
        <is>
          <t>COBRO_DIFERIDO</t>
        </is>
      </c>
    </row>
    <row r="168">
      <c r="A168" s="6" t="inlineStr">
        <is>
          <t>2026-05-12</t>
        </is>
      </c>
      <c r="B168" s="2" t="inlineStr">
        <is>
          <t>ingreso</t>
        </is>
      </c>
      <c r="C168" s="2" t="inlineStr">
        <is>
          <t>Cobro Venta TOP-001</t>
        </is>
      </c>
      <c r="D168" s="2" t="inlineStr">
        <is>
          <t>mercado_pago</t>
        </is>
      </c>
      <c r="E168" s="3" t="n">
        <v>14900</v>
      </c>
      <c r="F168" s="3" t="n">
        <v>0</v>
      </c>
      <c r="G168" s="9">
        <f>G167+E168-F168</f>
        <v/>
      </c>
      <c r="H168" s="2" t="inlineStr">
        <is>
          <t>VENTA_DIRECTA</t>
        </is>
      </c>
    </row>
    <row r="169">
      <c r="A169" s="6" t="inlineStr">
        <is>
          <t>2026-05-13</t>
        </is>
      </c>
      <c r="B169" s="2" t="inlineStr">
        <is>
          <t>ingreso</t>
        </is>
      </c>
      <c r="C169" s="2" t="inlineStr">
        <is>
          <t>Cobro Diferido Venta ACC-003</t>
        </is>
      </c>
      <c r="D169" s="2" t="inlineStr">
        <is>
          <t>tarjeta_credito</t>
        </is>
      </c>
      <c r="E169" s="3" t="n">
        <v>132600</v>
      </c>
      <c r="F169" s="3" t="n">
        <v>0</v>
      </c>
      <c r="G169" s="9">
        <f>G168+E169-F169</f>
        <v/>
      </c>
      <c r="H169" s="2" t="inlineStr">
        <is>
          <t>COBRO_DIFERIDO</t>
        </is>
      </c>
    </row>
    <row r="170">
      <c r="A170" s="6" t="inlineStr">
        <is>
          <t>2026-05-13</t>
        </is>
      </c>
      <c r="B170" s="2" t="inlineStr">
        <is>
          <t>ingreso</t>
        </is>
      </c>
      <c r="C170" s="2" t="inlineStr">
        <is>
          <t>Cobro Diferido Venta PAN-001</t>
        </is>
      </c>
      <c r="D170" s="2" t="inlineStr">
        <is>
          <t>tarjeta_credito</t>
        </is>
      </c>
      <c r="E170" s="3" t="n">
        <v>37400</v>
      </c>
      <c r="F170" s="3" t="n">
        <v>0</v>
      </c>
      <c r="G170" s="9">
        <f>G169+E170-F170</f>
        <v/>
      </c>
      <c r="H170" s="2" t="inlineStr">
        <is>
          <t>COBRO_DIFERIDO</t>
        </is>
      </c>
    </row>
    <row r="171">
      <c r="A171" s="6" t="inlineStr">
        <is>
          <t>2026-05-14</t>
        </is>
      </c>
      <c r="B171" s="2" t="inlineStr">
        <is>
          <t>ingreso</t>
        </is>
      </c>
      <c r="C171" s="2" t="inlineStr">
        <is>
          <t>Cobro Venta ACC-002</t>
        </is>
      </c>
      <c r="D171" s="2" t="inlineStr">
        <is>
          <t>mercado_pago</t>
        </is>
      </c>
      <c r="E171" s="3" t="n">
        <v>19000</v>
      </c>
      <c r="F171" s="3" t="n">
        <v>0</v>
      </c>
      <c r="G171" s="9">
        <f>G170+E171-F171</f>
        <v/>
      </c>
      <c r="H171" s="2" t="inlineStr">
        <is>
          <t>VENTA_DIRECTA</t>
        </is>
      </c>
    </row>
    <row r="172">
      <c r="A172" s="6" t="inlineStr">
        <is>
          <t>2026-05-15</t>
        </is>
      </c>
      <c r="B172" s="2" t="inlineStr">
        <is>
          <t>egreso</t>
        </is>
      </c>
      <c r="C172" s="2" t="inlineStr">
        <is>
          <t>Pago CF: Cargas Sociales F.931</t>
        </is>
      </c>
      <c r="D172" s="2" t="inlineStr">
        <is>
          <t>transferencia</t>
        </is>
      </c>
      <c r="E172" s="3" t="n">
        <v>0</v>
      </c>
      <c r="F172" s="3" t="n">
        <v>420000</v>
      </c>
      <c r="G172" s="9">
        <f>G171+E172-F172</f>
        <v/>
      </c>
      <c r="H172" s="2" t="inlineStr">
        <is>
          <t>COSTO_FIJO</t>
        </is>
      </c>
    </row>
    <row r="173">
      <c r="A173" s="6" t="inlineStr">
        <is>
          <t>2026-05-16</t>
        </is>
      </c>
      <c r="B173" s="2" t="inlineStr">
        <is>
          <t>ingreso</t>
        </is>
      </c>
      <c r="C173" s="2" t="inlineStr">
        <is>
          <t>Cobro Venta BUZ-002</t>
        </is>
      </c>
      <c r="D173" s="2" t="inlineStr">
        <is>
          <t>mercado_pago</t>
        </is>
      </c>
      <c r="E173" s="3" t="n">
        <v>68000</v>
      </c>
      <c r="F173" s="3" t="n">
        <v>0</v>
      </c>
      <c r="G173" s="9">
        <f>G172+E173-F173</f>
        <v/>
      </c>
      <c r="H173" s="2" t="inlineStr">
        <is>
          <t>VENTA_DIRECTA</t>
        </is>
      </c>
    </row>
    <row r="174">
      <c r="A174" s="6" t="inlineStr">
        <is>
          <t>2026-05-18</t>
        </is>
      </c>
      <c r="B174" s="2" t="inlineStr">
        <is>
          <t>ingreso</t>
        </is>
      </c>
      <c r="C174" s="2" t="inlineStr">
        <is>
          <t>Cobro Venta TOP-001</t>
        </is>
      </c>
      <c r="D174" s="2" t="inlineStr">
        <is>
          <t>mercado_pago</t>
        </is>
      </c>
      <c r="E174" s="3" t="n">
        <v>29800</v>
      </c>
      <c r="F174" s="3" t="n">
        <v>0</v>
      </c>
      <c r="G174" s="9">
        <f>G173+E174-F174</f>
        <v/>
      </c>
      <c r="H174" s="2" t="inlineStr">
        <is>
          <t>VENTA_DIRECTA</t>
        </is>
      </c>
    </row>
    <row r="175">
      <c r="A175" s="6" t="inlineStr">
        <is>
          <t>2026-05-20</t>
        </is>
      </c>
      <c r="B175" s="2" t="inlineStr">
        <is>
          <t>ingreso</t>
        </is>
      </c>
      <c r="C175" s="2" t="inlineStr">
        <is>
          <t>Cobro Venta CAM-003</t>
        </is>
      </c>
      <c r="D175" s="2" t="inlineStr">
        <is>
          <t>mercado_pago</t>
        </is>
      </c>
      <c r="E175" s="3" t="n">
        <v>84000</v>
      </c>
      <c r="F175" s="3" t="n">
        <v>0</v>
      </c>
      <c r="G175" s="9">
        <f>G174+E175-F175</f>
        <v/>
      </c>
      <c r="H175" s="2" t="inlineStr">
        <is>
          <t>VENTA_DIRECTA</t>
        </is>
      </c>
    </row>
    <row r="176">
      <c r="A176" s="6" t="inlineStr">
        <is>
          <t>2026-05-22</t>
        </is>
      </c>
      <c r="B176" s="2" t="inlineStr">
        <is>
          <t>ingreso</t>
        </is>
      </c>
      <c r="C176" s="2" t="inlineStr">
        <is>
          <t>Cobro Venta BUZ-002</t>
        </is>
      </c>
      <c r="D176" s="2" t="inlineStr">
        <is>
          <t>mercado_pago</t>
        </is>
      </c>
      <c r="E176" s="3" t="n">
        <v>34000</v>
      </c>
      <c r="F176" s="3" t="n">
        <v>0</v>
      </c>
      <c r="G176" s="9">
        <f>G175+E176-F176</f>
        <v/>
      </c>
      <c r="H176" s="2" t="inlineStr">
        <is>
          <t>VENTA_DIRECTA</t>
        </is>
      </c>
    </row>
    <row r="177">
      <c r="A177" s="6" t="inlineStr">
        <is>
          <t>2026-05-24</t>
        </is>
      </c>
      <c r="B177" s="2" t="inlineStr">
        <is>
          <t>ingreso</t>
        </is>
      </c>
      <c r="C177" s="2" t="inlineStr">
        <is>
          <t>Cobro Venta CAL-002</t>
        </is>
      </c>
      <c r="D177" s="2" t="inlineStr">
        <is>
          <t>mercado_pago</t>
        </is>
      </c>
      <c r="E177" s="3" t="n">
        <v>18500</v>
      </c>
      <c r="F177" s="3" t="n">
        <v>0</v>
      </c>
      <c r="G177" s="9">
        <f>G176+E177-F177</f>
        <v/>
      </c>
      <c r="H177" s="2" t="inlineStr">
        <is>
          <t>VENTA_DIRECTA</t>
        </is>
      </c>
    </row>
    <row r="178">
      <c r="A178" s="6" t="inlineStr">
        <is>
          <t>2026-05-26</t>
        </is>
      </c>
      <c r="B178" s="2" t="inlineStr">
        <is>
          <t>ingreso</t>
        </is>
      </c>
      <c r="C178" s="2" t="inlineStr">
        <is>
          <t>Cobro Venta TOP-002</t>
        </is>
      </c>
      <c r="D178" s="2" t="inlineStr">
        <is>
          <t>mercado_pago</t>
        </is>
      </c>
      <c r="E178" s="3" t="n">
        <v>16500</v>
      </c>
      <c r="F178" s="3" t="n">
        <v>0</v>
      </c>
      <c r="G178" s="9">
        <f>G177+E178-F178</f>
        <v/>
      </c>
      <c r="H178" s="2" t="inlineStr">
        <is>
          <t>VENTA_DIRECTA</t>
        </is>
      </c>
    </row>
    <row r="179">
      <c r="A179" s="6" t="inlineStr">
        <is>
          <t>2026-05-28</t>
        </is>
      </c>
      <c r="B179" s="2" t="inlineStr">
        <is>
          <t>ingreso</t>
        </is>
      </c>
      <c r="C179" s="2" t="inlineStr">
        <is>
          <t>Cobro Venta BUZ-002</t>
        </is>
      </c>
      <c r="D179" s="2" t="inlineStr">
        <is>
          <t>mercado_pago</t>
        </is>
      </c>
      <c r="E179" s="3" t="n">
        <v>34000</v>
      </c>
      <c r="F179" s="3" t="n">
        <v>0</v>
      </c>
      <c r="G179" s="9">
        <f>G178+E179-F179</f>
        <v/>
      </c>
      <c r="H179" s="2" t="inlineStr">
        <is>
          <t>VENTA_DIRECTA</t>
        </is>
      </c>
    </row>
    <row r="180">
      <c r="A180" s="6" t="inlineStr">
        <is>
          <t>2026-05-30</t>
        </is>
      </c>
      <c r="B180" s="2" t="inlineStr">
        <is>
          <t>ingreso</t>
        </is>
      </c>
      <c r="C180" s="2" t="inlineStr">
        <is>
          <t>Cobro Venta TOP-001</t>
        </is>
      </c>
      <c r="D180" s="2" t="inlineStr">
        <is>
          <t>mercado_pago</t>
        </is>
      </c>
      <c r="E180" s="3" t="n">
        <v>14900</v>
      </c>
      <c r="F180" s="3" t="n">
        <v>0</v>
      </c>
      <c r="G180" s="9">
        <f>G179+E180-F180</f>
        <v/>
      </c>
      <c r="H180" s="2" t="inlineStr">
        <is>
          <t>VENTA_DIRECTA</t>
        </is>
      </c>
    </row>
  </sheetData>
  <autoFilter ref="A1:H1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23" customWidth="1" min="9" max="9"/>
    <col width="20" customWidth="1" min="10" max="10"/>
    <col width="110" customWidth="1" min="11" max="11"/>
  </cols>
  <sheetData>
    <row r="1" ht="26" customHeight="1">
      <c r="A1" s="1" t="inlineStr">
        <is>
          <t>mes</t>
        </is>
      </c>
      <c r="B1" s="1" t="inlineStr">
        <is>
          <t>ventas_brutas</t>
        </is>
      </c>
      <c r="C1" s="1" t="inlineStr">
        <is>
          <t>descuentos</t>
        </is>
      </c>
      <c r="D1" s="1" t="inlineStr">
        <is>
          <t>ventas_netas</t>
        </is>
      </c>
      <c r="E1" s="1" t="inlineStr">
        <is>
          <t>costo_variable</t>
        </is>
      </c>
      <c r="F1" s="1" t="inlineStr">
        <is>
          <t>margen_bruto</t>
        </is>
      </c>
      <c r="G1" s="1" t="inlineStr">
        <is>
          <t>margen_bruto_pct</t>
        </is>
      </c>
      <c r="H1" s="1" t="inlineStr">
        <is>
          <t>costos_fijos</t>
        </is>
      </c>
      <c r="I1" s="1" t="inlineStr">
        <is>
          <t>resultado_operativo</t>
        </is>
      </c>
      <c r="J1" s="1" t="inlineStr">
        <is>
          <t>stock_valorizado</t>
        </is>
      </c>
      <c r="K1" s="1" t="inlineStr">
        <is>
          <t>observacion</t>
        </is>
      </c>
    </row>
    <row r="2">
      <c r="A2" s="2" t="inlineStr">
        <is>
          <t>marzo</t>
        </is>
      </c>
      <c r="B2" s="3" t="n">
        <v>6480000</v>
      </c>
      <c r="C2" s="3" t="n">
        <v>120000</v>
      </c>
      <c r="D2" s="9">
        <f>B2-C2</f>
        <v/>
      </c>
      <c r="E2" s="3" t="n">
        <v>2850000</v>
      </c>
      <c r="F2" s="9">
        <f>D2-E2</f>
        <v/>
      </c>
      <c r="G2" s="11">
        <f>F2/D2</f>
        <v/>
      </c>
      <c r="H2" s="3" t="n">
        <v>2705000</v>
      </c>
      <c r="I2" s="9">
        <f>F2-H2</f>
        <v/>
      </c>
      <c r="J2" s="3" t="n">
        <v>4820000</v>
      </c>
      <c r="K2" s="2" t="inlineStr">
        <is>
          <t>Operación saludable. Márgenes estables y stock balanceado.</t>
        </is>
      </c>
    </row>
    <row r="3">
      <c r="A3" s="12" t="inlineStr">
        <is>
          <t>abril</t>
        </is>
      </c>
      <c r="B3" s="13" t="n">
        <v>12450000</v>
      </c>
      <c r="C3" s="13" t="n">
        <v>2950000</v>
      </c>
      <c r="D3" s="14">
        <f>B3-C3</f>
        <v/>
      </c>
      <c r="E3" s="13" t="n">
        <v>7420000</v>
      </c>
      <c r="F3" s="14">
        <f>D3-E3</f>
        <v/>
      </c>
      <c r="G3" s="15">
        <f>F3/D3</f>
        <v/>
      </c>
      <c r="H3" s="13" t="n">
        <v>3535000</v>
      </c>
      <c r="I3" s="14">
        <f>F3-H3</f>
        <v/>
      </c>
      <c r="J3" s="13" t="n">
        <v>7850000</v>
      </c>
      <c r="K3" s="12" t="inlineStr">
        <is>
          <t>CRISIS: Alto volumen de venta pero margen destruído por descuentos. Capital atrapado en stock de camperas.</t>
        </is>
      </c>
    </row>
    <row r="4">
      <c r="A4" s="2" t="inlineStr">
        <is>
          <t>mayo</t>
        </is>
      </c>
      <c r="B4" s="3" t="n">
        <v>5120000</v>
      </c>
      <c r="C4" s="3" t="n">
        <v>80000</v>
      </c>
      <c r="D4" s="9">
        <f>B4-C4</f>
        <v/>
      </c>
      <c r="E4" s="3" t="n">
        <v>2310000</v>
      </c>
      <c r="F4" s="9">
        <f>D4-E4</f>
        <v/>
      </c>
      <c r="G4" s="11">
        <f>F4/D4</f>
        <v/>
      </c>
      <c r="H4" s="3" t="n">
        <v>2984000</v>
      </c>
      <c r="I4" s="9">
        <f>F4-H4</f>
        <v/>
      </c>
      <c r="J4" s="3" t="n">
        <v>7100000</v>
      </c>
      <c r="K4" s="2" t="inlineStr">
        <is>
          <t>Quiebre de stock en productos estrella por falta de caja para reposición. Estancamiento operativo.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16" customWidth="1" min="4" max="4"/>
    <col width="53" customWidth="1" min="5" max="5"/>
    <col width="13" customWidth="1" min="6" max="6"/>
    <col width="110" customWidth="1" min="7" max="7"/>
  </cols>
  <sheetData>
    <row r="1" ht="26" customHeight="1">
      <c r="A1" s="1" t="inlineStr">
        <is>
          <t>señal_id</t>
        </is>
      </c>
      <c r="B1" s="1" t="inlineStr">
        <is>
          <t>mes</t>
        </is>
      </c>
      <c r="C1" s="1" t="inlineStr">
        <is>
          <t>tipo_señal</t>
        </is>
      </c>
      <c r="D1" s="1" t="inlineStr">
        <is>
          <t>descripción</t>
        </is>
      </c>
      <c r="E1" s="1" t="inlineStr">
        <is>
          <t>evidencia_relacionada</t>
        </is>
      </c>
      <c r="F1" s="1" t="inlineStr">
        <is>
          <t>severidad</t>
        </is>
      </c>
      <c r="G1" s="1" t="inlineStr">
        <is>
          <t>acción_sugerida</t>
        </is>
      </c>
    </row>
    <row r="2">
      <c r="A2" s="2" t="inlineStr">
        <is>
          <t>SIG-001</t>
        </is>
      </c>
      <c r="B2" s="2" t="inlineStr">
        <is>
          <t>abril</t>
        </is>
      </c>
      <c r="C2" s="2" t="inlineStr">
        <is>
          <t>margen_bajo</t>
        </is>
      </c>
      <c r="D2" s="2" t="inlineStr">
        <is>
          <t>Margen bruto consolidado cayó al 21.8%, muy por debajo del target general del 55%.</t>
        </is>
      </c>
      <c r="E2" s="2" t="inlineStr">
        <is>
          <t>Hoja Resumen Mensual, fila abril</t>
        </is>
      </c>
      <c r="F2" s="10" t="inlineStr">
        <is>
          <t>CRÍTICA</t>
        </is>
      </c>
      <c r="G2" s="2" t="inlineStr">
        <is>
          <t>Suspender promociones masivas del 30% en canales mayoristas sin escala mínima.</t>
        </is>
      </c>
    </row>
    <row r="3">
      <c r="A3" s="2" t="inlineStr">
        <is>
          <t>SIG-002</t>
        </is>
      </c>
      <c r="B3" s="2" t="inlineStr">
        <is>
          <t>abril</t>
        </is>
      </c>
      <c r="C3" s="2" t="inlineStr">
        <is>
          <t>sobrestock</t>
        </is>
      </c>
      <c r="D3" s="2" t="inlineStr">
        <is>
          <t>Capital inmovilizado de $3.4M en Campera de Abrigo (CAM-002) con bajísima rotación.</t>
        </is>
      </c>
      <c r="E3" s="2" t="inlineStr">
        <is>
          <t>Hoja stock, SKU CAM-002, 85 unidades finales</t>
        </is>
      </c>
      <c r="F3" s="8" t="inlineStr">
        <is>
          <t>ALTA</t>
        </is>
      </c>
      <c r="G3" s="2" t="inlineStr">
        <is>
          <t>Lanzar liquidación dirigida o canalizar stock mediante showrooms zonales.</t>
        </is>
      </c>
    </row>
    <row r="4">
      <c r="A4" s="2" t="inlineStr">
        <is>
          <t>SIG-003</t>
        </is>
      </c>
      <c r="B4" s="2" t="inlineStr">
        <is>
          <t>mayo</t>
        </is>
      </c>
      <c r="C4" s="2" t="inlineStr">
        <is>
          <t>stock_bajo</t>
        </is>
      </c>
      <c r="D4" s="2" t="inlineStr">
        <is>
          <t>Quiebre de stock inminente en Remeras Básicas (REM-001/REM-002). Stock por debajo del mínimo.</t>
        </is>
      </c>
      <c r="E4" s="2" t="inlineStr">
        <is>
          <t>Hoja stock, SKU REM-001</t>
        </is>
      </c>
      <c r="F4" s="8" t="inlineStr">
        <is>
          <t>ALTA</t>
        </is>
      </c>
      <c r="G4" s="2" t="inlineStr">
        <is>
          <t>Priorizar saldos de caja para reponer este artículo; alta rotación asegurada.</t>
        </is>
      </c>
    </row>
    <row r="5">
      <c r="A5" s="2" t="inlineStr">
        <is>
          <t>SIG-004</t>
        </is>
      </c>
      <c r="B5" s="2" t="inlineStr">
        <is>
          <t>abril</t>
        </is>
      </c>
      <c r="C5" s="2" t="inlineStr">
        <is>
          <t>costo_fijo_alto</t>
        </is>
      </c>
      <c r="D5" s="2" t="inlineStr">
        <is>
          <t>Aumento del 50% en tarifas de servicios y 25% en alquileres tensionan el punto de equilibrio.</t>
        </is>
      </c>
      <c r="E5" s="2" t="inlineStr">
        <is>
          <t>Hoja costos_fijos, conceptos Alquiler y Servicios</t>
        </is>
      </c>
      <c r="F5" s="2" t="inlineStr">
        <is>
          <t>MEDIA</t>
        </is>
      </c>
      <c r="G5" s="2" t="inlineStr">
        <is>
          <t>Negociar plazos de pago de alquiler o revisar eficiencia energética del depósito.</t>
        </is>
      </c>
    </row>
    <row r="6">
      <c r="A6" s="2" t="inlineStr">
        <is>
          <t>SIG-005</t>
        </is>
      </c>
      <c r="B6" s="2" t="inlineStr">
        <is>
          <t>abril</t>
        </is>
      </c>
      <c r="C6" s="2" t="inlineStr">
        <is>
          <t>margen_negativo</t>
        </is>
      </c>
      <c r="D6" s="2" t="inlineStr">
        <is>
          <t>Ventas mayoristas a 'Distribuidora Centro' se realizaron con margen neto casi nulo por acumulación de descuento.</t>
        </is>
      </c>
      <c r="E6" s="2" t="inlineStr">
        <is>
          <t>Hoja ventas, cliente Distribuidora Centro</t>
        </is>
      </c>
      <c r="F6" s="10" t="inlineStr">
        <is>
          <t>CRÍTICA</t>
        </is>
      </c>
      <c r="G6" s="2" t="inlineStr">
        <is>
          <t>Establecer un límite estricto de descuento acumulable por sistema (máximo 15%).</t>
        </is>
      </c>
    </row>
    <row r="7">
      <c r="A7" s="2" t="inlineStr">
        <is>
          <t>SIG-006</t>
        </is>
      </c>
      <c r="B7" s="2" t="inlineStr">
        <is>
          <t>mayo</t>
        </is>
      </c>
      <c r="C7" s="2" t="inlineStr">
        <is>
          <t>caja_tensionada</t>
        </is>
      </c>
      <c r="D7" s="2" t="inlineStr">
        <is>
          <t>El saldo de caja proyectado cae a niveles mínimos históricos impidiendo compras de materia prima.</t>
        </is>
      </c>
      <c r="E7" s="2" t="inlineStr">
        <is>
          <t>Hoja caja_banco, saldos de mayo</t>
        </is>
      </c>
      <c r="F7" s="10" t="inlineStr">
        <is>
          <t>CRÍTICA</t>
        </is>
      </c>
      <c r="G7" s="2" t="inlineStr">
        <is>
          <t>Lanzar preventa online con cobro inmediato (descuento por efectivo/transferencia) para recuperar liquidez.</t>
        </is>
      </c>
    </row>
    <row r="8">
      <c r="A8" s="2" t="inlineStr">
        <is>
          <t>SIG-007</t>
        </is>
      </c>
      <c r="B8" s="2" t="inlineStr">
        <is>
          <t>abril</t>
        </is>
      </c>
      <c r="C8" s="2" t="inlineStr">
        <is>
          <t>compra_desalineada</t>
        </is>
      </c>
      <c r="D8" s="2" t="inlineStr">
        <is>
          <t>Compra masiva de insumos de invierno realizada tarde, lo que generó acumulación física e inmovilización.</t>
        </is>
      </c>
      <c r="E8" s="2" t="inlineStr">
        <is>
          <t>Hoja compras, OC-142</t>
        </is>
      </c>
      <c r="F8" s="8" t="inlineStr">
        <is>
          <t>ALTA</t>
        </is>
      </c>
      <c r="G8" s="2" t="inlineStr">
        <is>
          <t>Planificar compras estacionales con 60 días de anticipación como mínimo.</t>
        </is>
      </c>
    </row>
    <row r="9">
      <c r="A9" s="2" t="inlineStr">
        <is>
          <t>SIG-008</t>
        </is>
      </c>
      <c r="B9" s="2" t="inlineStr">
        <is>
          <t>mayo</t>
        </is>
      </c>
      <c r="C9" s="2" t="inlineStr">
        <is>
          <t>precio_desactualizado</t>
        </is>
      </c>
      <c r="D9" s="2" t="inlineStr">
        <is>
          <t>Los costos de reposición subieron 7% en mayo pero los precios de lista minoristas están congelados desde marzo.</t>
        </is>
      </c>
      <c r="E9" s="2" t="inlineStr">
        <is>
          <t>Hoja productos vs compras_mayo</t>
        </is>
      </c>
      <c r="F9" s="8" t="inlineStr">
        <is>
          <t>ALTA</t>
        </is>
      </c>
      <c r="G9" s="2" t="inlineStr">
        <is>
          <t>Aplicar actualización de precios de lista de forma inmediata (+12%) para recomponer margen.</t>
        </is>
      </c>
    </row>
    <row r="10">
      <c r="A10" s="2" t="inlineStr">
        <is>
          <t>SIG-009</t>
        </is>
      </c>
      <c r="B10" s="2" t="inlineStr">
        <is>
          <t>marzo</t>
        </is>
      </c>
      <c r="C10" s="2" t="inlineStr">
        <is>
          <t>ok</t>
        </is>
      </c>
      <c r="D10" s="2" t="inlineStr">
        <is>
          <t>Desempeño operativo óptimo con rentabilidad neta superior al 15%.</t>
        </is>
      </c>
      <c r="E10" s="2" t="inlineStr">
        <is>
          <t>Hoja Resumen Mensual, fila marzo</t>
        </is>
      </c>
      <c r="F10" s="2" t="inlineStr">
        <is>
          <t>BAJA</t>
        </is>
      </c>
      <c r="G10" s="2" t="inlineStr">
        <is>
          <t>Mantener la estructura de costos controlada y replicar el mix de canales.</t>
        </is>
      </c>
    </row>
    <row r="11">
      <c r="A11" s="2" t="inlineStr">
        <is>
          <t>SIG-010</t>
        </is>
      </c>
      <c r="B11" s="2" t="inlineStr">
        <is>
          <t>abril</t>
        </is>
      </c>
      <c r="C11" s="2" t="inlineStr">
        <is>
          <t>caja_tensionada</t>
        </is>
      </c>
      <c r="D11" s="2" t="inlineStr">
        <is>
          <t>Fuerte retraso en cobranzas: Cuenta Corriente a 45 días pospone ingresos clave por $2.5M.</t>
        </is>
      </c>
      <c r="E11" s="2" t="inlineStr">
        <is>
          <t>Hoja ventas, plazos de cobro de abril</t>
        </is>
      </c>
      <c r="F11" s="8" t="inlineStr">
        <is>
          <t>ALTA</t>
        </is>
      </c>
      <c r="G11" s="2" t="inlineStr">
        <is>
          <t>Ofrecer descuento por pronto pago (ej. 5% desc por pago a 10 días) a clientes recurrentes.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2026-05-18T01:43:59Z</dcterms:created>
  <dcterms:modified xmlns:dcterms="http://purl.org/dc/terms/" xmlns:xsi="http://www.w3.org/2001/XMLSchema-instance" xsi:type="dcterms:W3CDTF">2026-05-18T01:44:00Z</dcterms:modified>
</cp:coreProperties>
</file>