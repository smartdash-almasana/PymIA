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f5b6dc588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_Marzo_2026" sheetId="1" r:id="R728188b4f91f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 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2a5ed03cb4700" /><Relationship Type="http://schemas.openxmlformats.org/officeDocument/2006/relationships/theme" Target="/xl/theme/theme1.xml" Id="Recd54e0ed91546fd" /><Relationship Type="http://schemas.openxmlformats.org/officeDocument/2006/relationships/sharedStrings" Target="/xl/sharedStrings.xml" Id="Rc8f4e5d5124f46e2" /><Relationship Type="http://schemas.openxmlformats.org/officeDocument/2006/relationships/worksheet" Target="/xl/worksheets/sheet1.xml" Id="R728188b4f91f4745" /></Relationships>
</file>

<file path=xl/tables/table1.xml><?xml version="1.0" encoding="utf-8"?>
<x:table xmlns:x="http://schemas.openxmlformats.org/spreadsheetml/2006/main" id="1" name="VentasMarzo2026Table" displayName="VentasMarzo2026Table" ref="A1:I21" headerRowCount="1">
  <x:tableColumns count="9">
    <x:tableColumn id="1" name="fecha"/>
    <x:tableColumn id="2" name="ticket_id"/>
    <x:tableColumn id="3" name="producto"/>
    <x:tableColumn id="4" name="categoria"/>
    <x:tableColumn id="5" name="cantidad"/>
    <x:tableColumn id="6" name="precio_unitario"/>
    <x:tableColumn id="7" name="total_venta"/>
    <x:tableColumn id="8" name="medio_de_cobro_declarado"/>
    <x:tableColumn id="9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563563b2b640c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5" t="str">
        <x:v>fecha</x:v>
      </x:c>
      <x:c r="B1" s="5" t="str">
        <x:v>ticket_id</x:v>
      </x:c>
      <x:c r="C1" s="5" t="str">
        <x:v>producto</x:v>
      </x:c>
      <x:c r="D1" s="5" t="str">
        <x:v>categoria</x:v>
      </x:c>
      <x:c r="E1" s="5" t="str">
        <x:v>cantidad</x:v>
      </x:c>
      <x:c r="F1" s="5" t="str">
        <x:v>precio_unitario</x:v>
      </x:c>
      <x:c r="G1" s="5" t="str">
        <x:v>total_venta</x:v>
      </x:c>
      <x:c r="H1" s="5" t="str">
        <x:v>medio_de_cobro_declarado</x:v>
      </x:c>
      <x:c r="I1" s="18" t="str">
        <x:v>observaciones</x:v>
      </x:c>
    </x:row>
    <x:row r="2">
      <x:c r="A2" s="14" t="n">
        <x:v>46082</x:v>
      </x:c>
      <x:c r="B2" t="str">
        <x:v>T-0001</x:v>
      </x:c>
      <x:c r="C2" t="str">
        <x:v>Gaseosa 500ml</x:v>
      </x:c>
      <x:c r="D2" t="str">
        <x:v>Bebidas</x:v>
      </x:c>
      <x:c r="E2" t="n">
        <x:v>3</x:v>
      </x:c>
      <x:c r="F2" s="16" t="n">
        <x:v>1800</x:v>
      </x:c>
      <x:c r="G2" s="16" t="n">
        <x:f>E2*F2</x:f>
        <x:v>5400</x:v>
      </x:c>
      <x:c r="H2" t="str">
        <x:v>Efectivo</x:v>
      </x:c>
      <x:c r="I2" t="str"/>
    </x:row>
    <x:row r="3">
      <x:c r="A3" s="14" t="n">
        <x:v>46083</x:v>
      </x:c>
      <x:c r="B3" t="str">
        <x:v>T-0002</x:v>
      </x:c>
      <x:c r="C3" t="str">
        <x:v>Alfajor</x:v>
      </x:c>
      <x:c r="D3" t="str">
        <x:v>Golosinas</x:v>
      </x:c>
      <x:c r="E3" t="n">
        <x:v>6</x:v>
      </x:c>
      <x:c r="F3" s="16" t="n">
        <x:v>950</x:v>
      </x:c>
      <x:c r="G3" s="16" t="n">
        <x:f>E3*F3</x:f>
        <x:v>5700</x:v>
      </x:c>
      <x:c r="H3" t="str">
        <x:v>Mercado Pago</x:v>
      </x:c>
      <x:c r="I3" t="str"/>
    </x:row>
    <x:row r="4">
      <x:c r="A4" s="14" t="n">
        <x:v>46084</x:v>
      </x:c>
      <x:c r="B4" t="str">
        <x:v>T-0003</x:v>
      </x:c>
      <x:c r="C4" t="str">
        <x:v>Cigarrillos</x:v>
      </x:c>
      <x:c r="D4" t="str">
        <x:v>Tabaco</x:v>
      </x:c>
      <x:c r="E4" t="n">
        <x:v>2</x:v>
      </x:c>
      <x:c r="F4" s="16" t="n">
        <x:v>3200</x:v>
      </x:c>
      <x:c r="G4" s="16" t="n">
        <x:f>E4*F4</x:f>
        <x:v>6400</x:v>
      </x:c>
      <x:c r="H4" t="str">
        <x:v>Efectivo</x:v>
      </x:c>
      <x:c r="I4" t="str"/>
    </x:row>
    <x:row r="5">
      <x:c r="A5" s="14" t="n">
        <x:v>46085</x:v>
      </x:c>
      <x:c r="B5" t="str">
        <x:v>T-0004</x:v>
      </x:c>
      <x:c r="C5" t="str">
        <x:v>Agua 1.5L</x:v>
      </x:c>
      <x:c r="D5" t="str">
        <x:v>Bebidas</x:v>
      </x:c>
      <x:c r="E5" t="n">
        <x:v>4</x:v>
      </x:c>
      <x:c r="F5" s="16" t="n">
        <x:v>1500</x:v>
      </x:c>
      <x:c r="G5" s="16" t="n">
        <x:f>E5*F5</x:f>
        <x:v>6000</x:v>
      </x:c>
      <x:c r="H5" t="str">
        <x:v>Débito</x:v>
      </x:c>
      <x:c r="I5" t="str"/>
    </x:row>
    <x:row r="6">
      <x:c r="A6" s="14" t="n">
        <x:v>46086</x:v>
      </x:c>
      <x:c r="B6" t="str">
        <x:v>T-0005</x:v>
      </x:c>
      <x:c r="C6" t="str">
        <x:v>Yerba 1kg</x:v>
      </x:c>
      <x:c r="D6" t="str">
        <x:v>Almacén</x:v>
      </x:c>
      <x:c r="E6" t="n">
        <x:v>1</x:v>
      </x:c>
      <x:c r="F6" s="16" t="n">
        <x:v>4200</x:v>
      </x:c>
      <x:c r="G6" s="16" t="n">
        <x:f>E6*F6</x:f>
        <x:v>4200</x:v>
      </x:c>
      <x:c r="H6" t="str">
        <x:v>Mercado Pago</x:v>
      </x:c>
      <x:c r="I6" t="str"/>
    </x:row>
    <x:row r="7">
      <x:c r="A7" s="14" t="n">
        <x:v>46088</x:v>
      </x:c>
      <x:c r="B7" t="str">
        <x:v>T-0006</x:v>
      </x:c>
      <x:c r="C7" t="str">
        <x:v>Galletitas</x:v>
      </x:c>
      <x:c r="D7" t="str">
        <x:v>Almacén</x:v>
      </x:c>
      <x:c r="E7" t="n">
        <x:v>5</x:v>
      </x:c>
      <x:c r="F7" s="16" t="n">
        <x:v>1200</x:v>
      </x:c>
      <x:c r="G7" s="16" t="n">
        <x:f>E7*F7</x:f>
        <x:v>6000</x:v>
      </x:c>
      <x:c r="H7" t="str">
        <x:v>Efectivo</x:v>
      </x:c>
      <x:c r="I7" t="str"/>
    </x:row>
    <x:row r="8">
      <x:c r="A8" s="14" t="n">
        <x:v>46090</x:v>
      </x:c>
      <x:c r="B8" t="str">
        <x:v>T-0007</x:v>
      </x:c>
      <x:c r="C8" t="str">
        <x:v>Carga SUBE</x:v>
      </x:c>
      <x:c r="D8" t="str">
        <x:v>Servicios</x:v>
      </x:c>
      <x:c r="E8" t="n">
        <x:v>1</x:v>
      </x:c>
      <x:c r="F8" s="16" t="n">
        <x:v>5000</x:v>
      </x:c>
      <x:c r="G8" s="16" t="n">
        <x:f>E8*F8</x:f>
        <x:v>5000</x:v>
      </x:c>
      <x:c r="H8" t="str">
        <x:v>Efectivo</x:v>
      </x:c>
      <x:c r="I8" t="str">
        <x:v>Servicio declarado por cliente</x:v>
      </x:c>
    </x:row>
    <x:row r="9">
      <x:c r="A9" s="14" t="n">
        <x:v>46091</x:v>
      </x:c>
      <x:c r="B9" t="str">
        <x:v>T-0008</x:v>
      </x:c>
      <x:c r="C9" t="str">
        <x:v>Café instantáneo</x:v>
      </x:c>
      <x:c r="D9" t="str">
        <x:v>Almacén</x:v>
      </x:c>
      <x:c r="E9" t="n">
        <x:v>2</x:v>
      </x:c>
      <x:c r="F9" s="16" t="n">
        <x:v>3800</x:v>
      </x:c>
      <x:c r="G9" s="16" t="n">
        <x:f>E9*F9</x:f>
        <x:v>7600</x:v>
      </x:c>
      <x:c r="H9" t="str">
        <x:v>Débito</x:v>
      </x:c>
      <x:c r="I9" t="str"/>
    </x:row>
    <x:row r="10">
      <x:c r="A10" s="14" t="n">
        <x:v>46093</x:v>
      </x:c>
      <x:c r="B10" t="str">
        <x:v>T-0009</x:v>
      </x:c>
      <x:c r="C10" t="str">
        <x:v>Chicles</x:v>
      </x:c>
      <x:c r="D10" t="str">
        <x:v>Golosinas</x:v>
      </x:c>
      <x:c r="E10" t="n">
        <x:v>10</x:v>
      </x:c>
      <x:c r="F10" s="16" t="n">
        <x:v>450</x:v>
      </x:c>
      <x:c r="G10" s="16" t="n">
        <x:f>E10*F10</x:f>
        <x:v>4500</x:v>
      </x:c>
      <x:c r="H10" t="str">
        <x:v>Efectivo</x:v>
      </x:c>
      <x:c r="I10" t="str"/>
    </x:row>
    <x:row r="11">
      <x:c r="A11" s="14" t="n">
        <x:v>46095</x:v>
      </x:c>
      <x:c r="B11" t="str">
        <x:v>T-0010</x:v>
      </x:c>
      <x:c r="C11" t="str">
        <x:v>Leche 1L</x:v>
      </x:c>
      <x:c r="D11" t="str">
        <x:v>Lácteos</x:v>
      </x:c>
      <x:c r="E11" t="n">
        <x:v>3</x:v>
      </x:c>
      <x:c r="F11" s="16" t="n">
        <x:v>1600</x:v>
      </x:c>
      <x:c r="G11" s="16" t="n">
        <x:f>E11*F11</x:f>
        <x:v>4800</x:v>
      </x:c>
      <x:c r="H11" t="str">
        <x:v>Mercado Pago</x:v>
      </x:c>
      <x:c r="I11" t="str"/>
    </x:row>
    <x:row r="12">
      <x:c r="A12" s="14" t="n">
        <x:v>46096</x:v>
      </x:c>
      <x:c r="B12" t="str">
        <x:v>T-0011</x:v>
      </x:c>
      <x:c r="C12" t="str">
        <x:v>Pan lactal</x:v>
      </x:c>
      <x:c r="D12" t="str">
        <x:v>Almacén</x:v>
      </x:c>
      <x:c r="E12" t="n">
        <x:v>2</x:v>
      </x:c>
      <x:c r="F12" s="16" t="n">
        <x:v>2500</x:v>
      </x:c>
      <x:c r="G12" s="16" t="n">
        <x:f>E12*F12</x:f>
        <x:v>5000</x:v>
      </x:c>
      <x:c r="H12" t="str">
        <x:v>Efectivo</x:v>
      </x:c>
      <x:c r="I12" t="str"/>
    </x:row>
    <x:row r="13">
      <x:c r="A13" s="14" t="n">
        <x:v>46098</x:v>
      </x:c>
      <x:c r="B13" t="str">
        <x:v>T-0012</x:v>
      </x:c>
      <x:c r="C13" t="str">
        <x:v>Gaseosa 2.25L</x:v>
      </x:c>
      <x:c r="D13" t="str">
        <x:v>Bebidas</x:v>
      </x:c>
      <x:c r="E13" t="n">
        <x:v>2</x:v>
      </x:c>
      <x:c r="F13" s="16" t="n">
        <x:v>3100</x:v>
      </x:c>
      <x:c r="G13" s="16" t="n">
        <x:f>E13*F13</x:f>
        <x:v>6200</x:v>
      </x:c>
      <x:c r="H13" t="str">
        <x:v>Débito</x:v>
      </x:c>
      <x:c r="I13" t="str"/>
    </x:row>
    <x:row r="14">
      <x:c r="A14" s="14" t="n">
        <x:v>46100</x:v>
      </x:c>
      <x:c r="B14" t="str">
        <x:v>T-0013</x:v>
      </x:c>
      <x:c r="C14" t="str">
        <x:v>Chocolate</x:v>
      </x:c>
      <x:c r="D14" t="str">
        <x:v>Golosinas</x:v>
      </x:c>
      <x:c r="E14" t="n">
        <x:v>4</x:v>
      </x:c>
      <x:c r="F14" s="16" t="n">
        <x:v>1100</x:v>
      </x:c>
      <x:c r="G14" s="16" t="n">
        <x:f>E14*F14</x:f>
        <x:v>4400</x:v>
      </x:c>
      <x:c r="H14" t="str">
        <x:v>Mercado Pago</x:v>
      </x:c>
      <x:c r="I14" t="str"/>
    </x:row>
    <x:row r="15">
      <x:c r="A15" s="14" t="n">
        <x:v>46102</x:v>
      </x:c>
      <x:c r="B15" t="str">
        <x:v>T-0014</x:v>
      </x:c>
      <x:c r="C15" t="str">
        <x:v>Aceite 900ml</x:v>
      </x:c>
      <x:c r="D15" t="str">
        <x:v>Almacén</x:v>
      </x:c>
      <x:c r="E15" t="n">
        <x:v>1</x:v>
      </x:c>
      <x:c r="F15" s="16" t="n">
        <x:v>2900</x:v>
      </x:c>
      <x:c r="G15" s="16" t="n">
        <x:f>E15*F15</x:f>
        <x:v>2900</x:v>
      </x:c>
      <x:c r="H15" t="str">
        <x:v>Efectivo</x:v>
      </x:c>
      <x:c r="I15" t="str"/>
    </x:row>
    <x:row r="16">
      <x:c r="A16" s="14" t="n">
        <x:v>46104</x:v>
      </x:c>
      <x:c r="B16" t="str">
        <x:v>T-0015</x:v>
      </x:c>
      <x:c r="C16" t="str">
        <x:v>Papas fritas</x:v>
      </x:c>
      <x:c r="D16" t="str">
        <x:v>Snacks</x:v>
      </x:c>
      <x:c r="E16" t="n">
        <x:v>3</x:v>
      </x:c>
      <x:c r="F16" s="16" t="n">
        <x:v>1350</x:v>
      </x:c>
      <x:c r="G16" s="16" t="n">
        <x:f>E16*F16</x:f>
        <x:v>4050</x:v>
      </x:c>
      <x:c r="H16" t="str">
        <x:v>Débito</x:v>
      </x:c>
      <x:c r="I16" t="str"/>
    </x:row>
    <x:row r="17">
      <x:c r="A17" s="14" t="n">
        <x:v>46106</x:v>
      </x:c>
      <x:c r="B17" t="str">
        <x:v>T-0016</x:v>
      </x:c>
      <x:c r="C17" t="str">
        <x:v>Factura panadería</x:v>
      </x:c>
      <x:c r="D17" t="str">
        <x:v>Panadería</x:v>
      </x:c>
      <x:c r="E17" t="n">
        <x:v>6</x:v>
      </x:c>
      <x:c r="F17" s="16" t="n">
        <x:v>700</x:v>
      </x:c>
      <x:c r="G17" s="16" t="n">
        <x:f>E17*F17</x:f>
        <x:v>4200</x:v>
      </x:c>
      <x:c r="H17" t="str">
        <x:v>Efectivo</x:v>
      </x:c>
      <x:c r="I17" t="str"/>
    </x:row>
    <x:row r="18">
      <x:c r="A18" s="14" t="n">
        <x:v>46108</x:v>
      </x:c>
      <x:c r="B18" t="str">
        <x:v>T-0017</x:v>
      </x:c>
      <x:c r="C18" t="str">
        <x:v>Queso untable</x:v>
      </x:c>
      <x:c r="D18" t="str">
        <x:v>Lácteos</x:v>
      </x:c>
      <x:c r="E18" t="n">
        <x:v>2</x:v>
      </x:c>
      <x:c r="F18" s="16" t="n">
        <x:v>2200</x:v>
      </x:c>
      <x:c r="G18" s="16" t="n">
        <x:f>E18*F18</x:f>
        <x:v>4400</x:v>
      </x:c>
      <x:c r="H18" t="str">
        <x:v>Mercado Pago</x:v>
      </x:c>
      <x:c r="I18" t="str"/>
    </x:row>
    <x:row r="19">
      <x:c r="A19" s="14" t="n">
        <x:v>46110</x:v>
      </x:c>
      <x:c r="B19" t="str">
        <x:v>T-0018</x:v>
      </x:c>
      <x:c r="C19" t="str">
        <x:v>Pilas AA</x:v>
      </x:c>
      <x:c r="D19" t="str">
        <x:v>Varios</x:v>
      </x:c>
      <x:c r="E19" t="n">
        <x:v>1</x:v>
      </x:c>
      <x:c r="F19" s="16" t="n">
        <x:v>3500</x:v>
      </x:c>
      <x:c r="G19" s="16" t="n">
        <x:f>E19*F19</x:f>
        <x:v>3500</x:v>
      </x:c>
      <x:c r="H19" t="str">
        <x:v>Efectivo</x:v>
      </x:c>
      <x:c r="I19" t="str"/>
    </x:row>
    <x:row r="20">
      <x:c r="A20" s="14" t="n">
        <x:v>46111</x:v>
      </x:c>
      <x:c r="B20" t="str">
        <x:v>T-0019</x:v>
      </x:c>
      <x:c r="C20" t="str">
        <x:v>Agua saborizada</x:v>
      </x:c>
      <x:c r="D20" t="str">
        <x:v>Bebidas</x:v>
      </x:c>
      <x:c r="E20" t="n">
        <x:v>4</x:v>
      </x:c>
      <x:c r="F20" s="16" t="n">
        <x:v>1300</x:v>
      </x:c>
      <x:c r="G20" s="16" t="n">
        <x:f>E20*F20</x:f>
        <x:v>5200</x:v>
      </x:c>
      <x:c r="H20" t="str">
        <x:v>Débito</x:v>
      </x:c>
      <x:c r="I20" t="str"/>
    </x:row>
    <x:row r="21">
      <x:c r="A21" s="14" t="n">
        <x:v>46112</x:v>
      </x:c>
      <x:c r="B21" t="str">
        <x:v>T-0020</x:v>
      </x:c>
      <x:c r="C21" t="str">
        <x:v>Caramelos surtidos</x:v>
      </x:c>
      <x:c r="D21" t="str">
        <x:v>Golosinas</x:v>
      </x:c>
      <x:c r="E21" t="n">
        <x:v>8</x:v>
      </x:c>
      <x:c r="F21" s="16" t="n">
        <x:v>300</x:v>
      </x:c>
      <x:c r="G21" s="16" t="n">
        <x:f>E21*F21</x:f>
        <x:v>2400</x:v>
      </x:c>
      <x:c r="H21" t="str">
        <x:v>Efectivo</x:v>
      </x:c>
      <x:c r="I21" t="str">
        <x:v>Venta declarada sin comprobante adjunto</x:v>
      </x:c>
    </x:row>
    <x:row r="24">
      <x:c r="A24" s="11" t="str">
        <x:v>Resumen declarado</x:v>
      </x:c>
      <x:c r="B24" s="11" t="str">
        <x:v>Importe</x:v>
      </x:c>
    </x:row>
    <x:row r="25">
      <x:c r="A25" t="str">
        <x:v>Total ventas declaradas</x:v>
      </x:c>
      <x:c r="B25" s="16" t="n">
        <x:f>SUM(G2:G21)</x:f>
        <x:v>97850</x:v>
      </x:c>
    </x:row>
    <x:row r="26">
      <x:c r="A26" t="str">
        <x:v>Cantidad tickets</x:v>
      </x:c>
      <x:c r="B26" t="n">
        <x:f>COUNTA(B2:B21)</x:f>
        <x:v>20</x:v>
      </x:c>
    </x:row>
    <x:row r="27">
      <x:c r="A27" t="str">
        <x:v>Periodo</x:v>
      </x:c>
      <x:c r="B27" t="str">
        <x:v>Marzo 2026</x:v>
      </x:c>
    </x:row>
    <x:row r="28">
      <x:c r="A28" t="str">
        <x:v>Nota</x:v>
      </x:c>
      <x:c r="B28" t="str">
        <x:v>Datos sintéticos para piloto controlado; evidencia declarada, no auditada.</x:v>
      </x:c>
    </x:row>
  </x:sheetData>
  <x:pageMargins left="0.7" right="0.7" top="0.75" bottom="0.75" header="0.3" footer="0.3"/>
  <x:tableParts count="1">
    <x:tablePart xmlns:r="http://schemas.openxmlformats.org/officeDocument/2006/relationships" r:id="R50563563b2b640cb"/>
  </x:tableParts>
</x:worksheet>
</file>